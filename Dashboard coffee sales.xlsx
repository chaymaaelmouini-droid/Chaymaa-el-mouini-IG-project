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delmo\Downloads\"/>
    </mc:Choice>
  </mc:AlternateContent>
  <xr:revisionPtr revIDLastSave="0" documentId="13_ncr:1_{B41FDC0B-F10B-4C1B-93A0-13EEA41EF7E6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📊 Tableau de Bord" sheetId="1" r:id="rId1"/>
    <sheet name="Ventes_Mensuelles" sheetId="2" r:id="rId2"/>
    <sheet name="Analyse_Produits" sheetId="3" r:id="rId3"/>
    <sheet name="Analyse_Temporell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4" l="1"/>
  <c r="I19" i="4"/>
  <c r="I18" i="4"/>
  <c r="I17" i="4"/>
  <c r="I16" i="4"/>
  <c r="I15" i="4"/>
  <c r="I14" i="4"/>
  <c r="I13" i="4"/>
  <c r="I12" i="4"/>
  <c r="I11" i="4"/>
  <c r="C11" i="4"/>
  <c r="B11" i="4"/>
  <c r="I10" i="4"/>
  <c r="D10" i="4"/>
  <c r="I9" i="4"/>
  <c r="D9" i="4"/>
  <c r="I8" i="4"/>
  <c r="D8" i="4"/>
  <c r="I7" i="4"/>
  <c r="D7" i="4"/>
  <c r="I6" i="4"/>
  <c r="D6" i="4"/>
  <c r="I5" i="4"/>
  <c r="D5" i="4"/>
  <c r="I4" i="4"/>
  <c r="D4" i="4"/>
  <c r="C11" i="3"/>
  <c r="B11" i="3"/>
  <c r="G10" i="3"/>
  <c r="F10" i="3"/>
  <c r="E10" i="3"/>
  <c r="D10" i="3"/>
  <c r="G9" i="3"/>
  <c r="F9" i="3"/>
  <c r="E9" i="3"/>
  <c r="D9" i="3"/>
  <c r="G8" i="3"/>
  <c r="F8" i="3"/>
  <c r="E8" i="3"/>
  <c r="D8" i="3"/>
  <c r="G7" i="3"/>
  <c r="F7" i="3"/>
  <c r="E7" i="3"/>
  <c r="D7" i="3"/>
  <c r="G6" i="3"/>
  <c r="F6" i="3"/>
  <c r="E6" i="3"/>
  <c r="D6" i="3"/>
  <c r="G5" i="3"/>
  <c r="F5" i="3"/>
  <c r="E5" i="3"/>
  <c r="D5" i="3"/>
  <c r="G4" i="3"/>
  <c r="F4" i="3"/>
  <c r="E4" i="3"/>
  <c r="D4" i="3"/>
  <c r="G3" i="3"/>
  <c r="F3" i="3"/>
  <c r="E3" i="3"/>
  <c r="D3" i="3"/>
  <c r="D15" i="2"/>
  <c r="E15" i="2" s="1"/>
  <c r="E7" i="1" s="1"/>
  <c r="C15" i="2"/>
  <c r="C7" i="1" s="1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F15" i="2" s="1"/>
  <c r="E3" i="2"/>
  <c r="C31" i="1"/>
  <c r="B31" i="1"/>
  <c r="F30" i="1"/>
  <c r="E30" i="1"/>
  <c r="D30" i="1"/>
  <c r="F29" i="1"/>
  <c r="E29" i="1"/>
  <c r="D29" i="1"/>
  <c r="F28" i="1"/>
  <c r="E28" i="1"/>
  <c r="D28" i="1"/>
  <c r="F27" i="1"/>
  <c r="E27" i="1"/>
  <c r="D27" i="1"/>
  <c r="F26" i="1"/>
  <c r="E26" i="1"/>
  <c r="D26" i="1"/>
  <c r="F25" i="1"/>
  <c r="E25" i="1"/>
  <c r="D25" i="1"/>
  <c r="F24" i="1"/>
  <c r="E24" i="1"/>
  <c r="D24" i="1"/>
  <c r="F23" i="1"/>
  <c r="E23" i="1"/>
  <c r="D23" i="1"/>
  <c r="A7" i="1"/>
</calcChain>
</file>

<file path=xl/sharedStrings.xml><?xml version="1.0" encoding="utf-8"?>
<sst xmlns="http://schemas.openxmlformats.org/spreadsheetml/2006/main" count="107" uniqueCount="83">
  <si>
    <t>☕  COFFEE SALES — TABLEAU DE BORD</t>
  </si>
  <si>
    <t>ENCG Settat — Université Hassan 1er  |  Performance Commerciale 2024–2025</t>
  </si>
  <si>
    <t>INDICATEURS CLÉS DE PERFORMANCE</t>
  </si>
  <si>
    <t>CA Total</t>
  </si>
  <si>
    <t>Transactions</t>
  </si>
  <si>
    <t>Panier Moyen</t>
  </si>
  <si>
    <t>Top Produit</t>
  </si>
  <si>
    <t>Latte</t>
  </si>
  <si>
    <t>Revenu total mars 2024 → mars 2025</t>
  </si>
  <si>
    <t>Nombre total de commandes</t>
  </si>
  <si>
    <t>CA Total / Transactions</t>
  </si>
  <si>
    <t>Produit le plus rentable</t>
  </si>
  <si>
    <t>Meilleur Mois</t>
  </si>
  <si>
    <t>Pic Horaire</t>
  </si>
  <si>
    <t>Mars</t>
  </si>
  <si>
    <t>10h00</t>
  </si>
  <si>
    <t>15 892 € · 494 transactions</t>
  </si>
  <si>
    <t>Heure de pointe des ventes</t>
  </si>
  <si>
    <t>SYNTHÈSE PAR PRODUIT</t>
  </si>
  <si>
    <t>Produit</t>
  </si>
  <si>
    <t>Ventes</t>
  </si>
  <si>
    <t>CA (€)</t>
  </si>
  <si>
    <t>Prix Moy. (€)</t>
  </si>
  <si>
    <t>Part CA (%)</t>
  </si>
  <si>
    <t>Rang</t>
  </si>
  <si>
    <t>Americano with Milk</t>
  </si>
  <si>
    <t>Cappuccino</t>
  </si>
  <si>
    <t>Americano</t>
  </si>
  <si>
    <t>Hot Chocolate</t>
  </si>
  <si>
    <t>Cocoa</t>
  </si>
  <si>
    <t>Cortado</t>
  </si>
  <si>
    <t>Espresso</t>
  </si>
  <si>
    <t>TOTAL</t>
  </si>
  <si>
    <t>VENTES MENSUELLES — ÉVOLUTION 2024–2025</t>
  </si>
  <si>
    <t>Mois</t>
  </si>
  <si>
    <t>Ordre</t>
  </si>
  <si>
    <t>Panier Moyen (€)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</si>
  <si>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</si>
  <si>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</si>
  <si>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</si>
  <si>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</si>
  <si>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</si>
  <si>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</si>
  <si>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</si>
  <si>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</si>
  <si>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</si>
  <si>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</si>
  <si>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</si>
  <si>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</si>
  <si>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ANNUEL</t>
  </si>
  <si>
    <t>ANALYSE PAR PRODUIT — PERFORMANCE &amp; RENTABILITÉ</t>
  </si>
  <si>
    <t>Part Ventes (%)</t>
  </si>
  <si>
    <t>Rang CA</t>
  </si>
  <si>
    <t>ANALYSE TEMPORELLE — JOURS &amp; HEURES</t>
  </si>
  <si>
    <t>PAR JOUR DE LA SEMAINE</t>
  </si>
  <si>
    <t>PAR TRANCHE HORAIRE</t>
  </si>
  <si>
    <t>Jour</t>
  </si>
  <si>
    <t>CA Moy. / Semaine (€)</t>
  </si>
  <si>
    <t>Heure</t>
  </si>
  <si>
    <t>% CA</t>
  </si>
  <si>
    <t>Lundi</t>
  </si>
  <si>
    <t>6h00</t>
  </si>
  <si>
    <t>Mardi</t>
  </si>
  <si>
    <t>7h00</t>
  </si>
  <si>
    <t>Mercredi</t>
  </si>
  <si>
    <t>8h00</t>
  </si>
  <si>
    <t>Jeudi</t>
  </si>
  <si>
    <t>9h00</t>
  </si>
  <si>
    <t>Vendredi</t>
  </si>
  <si>
    <t>Samedi</t>
  </si>
  <si>
    <t>11h00</t>
  </si>
  <si>
    <t>Dimanche</t>
  </si>
  <si>
    <t>12h00</t>
  </si>
  <si>
    <t>13h00</t>
  </si>
  <si>
    <t>14h00</t>
  </si>
  <si>
    <t>15h00</t>
  </si>
  <si>
    <t>16h00</t>
  </si>
  <si>
    <t>17h00</t>
  </si>
  <si>
    <t>18h00</t>
  </si>
  <si>
    <t>19h00</t>
  </si>
  <si>
    <t>20h00</t>
  </si>
  <si>
    <t>21h00</t>
  </si>
  <si>
    <t>22h00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</si>
</sst>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&quot; €&quot;"/>
    <numFmt numFmtId="165" formatCode="0.0%"/>
  </numFmts>
  <fonts count="15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i/>
      <sz val="10"/>
      <color rgb="FFFFFFFF"/>
      <name val="Arial"/>
      <charset val="1"/>
    </font>
    <font>
      <b/>
      <sz val="11"/>
      <color rgb="FF006633"/>
      <name val="Arial"/>
      <charset val="1"/>
    </font>
    <font>
      <b/>
      <sz val="9"/>
      <color rgb="FFFFFFFF"/>
      <name val="Arial"/>
      <charset val="1"/>
    </font>
    <font>
      <b/>
      <sz val="18"/>
      <color rgb="FF006633"/>
      <name val="Arial"/>
      <charset val="1"/>
    </font>
    <font>
      <i/>
      <sz val="8"/>
      <color rgb="FF5A7A65"/>
      <name val="Arial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0"/>
      <color rgb="FFD4A017"/>
      <name val="Arial"/>
      <charset val="1"/>
    </font>
    <font>
      <sz val="10"/>
      <color rgb="FF00000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b/>
      <sz val="10"/>
      <color rgb="FF1A1A1A"/>
      <name val="Arial"/>
      <charset val="1"/>
    </font>
    <font>
      <b/>
      <sz val="1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006633"/>
        <bgColor rgb="FF004D26"/>
      </patternFill>
    </fill>
    <fill>
      <patternFill patternType="solid">
        <fgColor rgb="FF004D26"/>
        <bgColor rgb="FF006633"/>
      </patternFill>
    </fill>
    <fill>
      <patternFill patternType="solid">
        <fgColor rgb="FFE8F5EE"/>
        <bgColor rgb="FFF5F5F5"/>
      </patternFill>
    </fill>
    <fill>
      <patternFill patternType="solid">
        <fgColor rgb="FF008844"/>
        <bgColor rgb="FF006633"/>
      </patternFill>
    </fill>
    <fill>
      <patternFill patternType="solid">
        <fgColor rgb="FFF5F5F5"/>
        <bgColor rgb="FFE8F5EE"/>
      </patternFill>
    </fill>
    <fill>
      <patternFill patternType="solid">
        <fgColor rgb="FFFFF8E1"/>
        <bgColor rgb="FFF5F5F5"/>
      </patternFill>
    </fill>
    <fill>
      <patternFill patternType="solid">
        <fgColor rgb="FFFFFFFF"/>
        <bgColor rgb="FFF5F5F5"/>
      </patternFill>
    </fill>
    <fill>
      <patternFill patternType="solid">
        <fgColor rgb="FFD4A017"/>
        <bgColor rgb="FFE8A020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00663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3" fillId="9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/>
    </xf>
    <xf numFmtId="3" fontId="5" fillId="4" borderId="2" xfId="0" applyNumberFormat="1" applyFont="1" applyFill="1" applyBorder="1" applyAlignment="1">
      <alignment horizontal="center" vertical="center"/>
    </xf>
    <xf numFmtId="164" fontId="5" fillId="4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left" vertical="center"/>
    </xf>
    <xf numFmtId="3" fontId="8" fillId="6" borderId="2" xfId="0" applyNumberFormat="1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center" vertical="center"/>
    </xf>
    <xf numFmtId="165" fontId="8" fillId="6" borderId="2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left" vertical="center"/>
    </xf>
    <xf numFmtId="3" fontId="8" fillId="8" borderId="2" xfId="0" applyNumberFormat="1" applyFont="1" applyFill="1" applyBorder="1" applyAlignment="1">
      <alignment horizontal="center" vertical="center"/>
    </xf>
    <xf numFmtId="164" fontId="8" fillId="8" borderId="2" xfId="0" applyNumberFormat="1" applyFont="1" applyFill="1" applyBorder="1" applyAlignment="1">
      <alignment horizontal="center" vertical="center"/>
    </xf>
    <xf numFmtId="165" fontId="8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3" fontId="11" fillId="2" borderId="2" xfId="0" applyNumberFormat="1" applyFont="1" applyFill="1" applyBorder="1" applyAlignment="1">
      <alignment horizontal="center" vertical="center"/>
    </xf>
    <xf numFmtId="164" fontId="11" fillId="2" borderId="2" xfId="0" applyNumberFormat="1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3" fontId="7" fillId="2" borderId="2" xfId="0" applyNumberFormat="1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165" fontId="7" fillId="2" borderId="2" xfId="0" applyNumberFormat="1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left" vertical="center"/>
    </xf>
    <xf numFmtId="3" fontId="14" fillId="4" borderId="2" xfId="0" applyNumberFormat="1" applyFont="1" applyFill="1" applyBorder="1" applyAlignment="1">
      <alignment horizontal="center" vertical="center"/>
    </xf>
    <xf numFmtId="164" fontId="14" fillId="4" borderId="2" xfId="0" applyNumberFormat="1" applyFont="1" applyFill="1" applyBorder="1" applyAlignment="1">
      <alignment horizontal="center" vertical="center"/>
    </xf>
    <xf numFmtId="165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0" fillId="2" borderId="2" xfId="0" applyFill="1" applyBorder="1"/>
    <xf numFmtId="0" fontId="13" fillId="9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3" fontId="8" fillId="7" borderId="2" xfId="0" applyNumberFormat="1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center" vertical="center"/>
    </xf>
    <xf numFmtId="165" fontId="8" fillId="7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633"/>
      <rgbColor rgb="FF000080"/>
      <rgbColor rgb="FFD4A017"/>
      <rgbColor rgb="FF800080"/>
      <rgbColor rgb="FF008844"/>
      <rgbColor rgb="FFB3B3B3"/>
      <rgbColor rgb="FF5A7A65"/>
      <rgbColor rgb="FF9999FF"/>
      <rgbColor rgb="FFA23B72"/>
      <rgbColor rgb="FFFFF8E1"/>
      <rgbColor rgb="FFE8F5EE"/>
      <rgbColor rgb="FF660066"/>
      <rgbColor rgb="FFE8A020"/>
      <rgbColor rgb="FF1A6090"/>
      <rgbColor rgb="FFD0D0D0"/>
      <rgbColor rgb="FF000080"/>
      <rgbColor rgb="FFFF00FF"/>
      <rgbColor rgb="FFFFFF00"/>
      <rgbColor rgb="FF00FFFF"/>
      <rgbColor rgb="FF800080"/>
      <rgbColor rgb="FF800000"/>
      <rgbColor rgb="FF2E86AB"/>
      <rgbColor rgb="FF0000FF"/>
      <rgbColor rgb="FF00AA55"/>
      <rgbColor rgb="FFF5F5F5"/>
      <rgbColor rgb="FFD9D9D9"/>
      <rgbColor rgb="FFFFFF99"/>
      <rgbColor rgb="FF99CCFF"/>
      <rgbColor rgb="FFFF99CC"/>
      <rgbColor rgb="FFCC99FF"/>
      <rgbColor rgb="FFFFCC99"/>
      <rgbColor rgb="FF3366FF"/>
      <rgbColor rgb="FF33BB77"/>
      <rgbColor rgb="FFC8D450"/>
      <rgbColor rgb="FFF0B040"/>
      <rgbColor rgb="FFF18F01"/>
      <rgbColor rgb="FFE84855"/>
      <rgbColor rgb="FF4F81BD"/>
      <rgbColor rgb="FF969696"/>
      <rgbColor rgb="FF003366"/>
      <rgbColor rgb="FF3BB273"/>
      <rgbColor rgb="FF004D26"/>
      <rgbColor rgb="FF333300"/>
      <rgbColor rgb="FFC73E1D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CA par Produit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Analyse_Produits!$C$2</c:f>
              <c:strCache>
                <c:ptCount val="1"/>
                <c:pt idx="0">
                  <c:v>CA (€)</c:v>
                </c:pt>
              </c:strCache>
            </c:strRef>
          </c:tx>
          <c:spPr>
            <a:solidFill>
              <a:srgbClr val="006633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Analyse_Produits!$A$3:$A$10</c:f>
              <c:strCache>
                <c:ptCount val="8"/>
                <c:pt idx="0">
                  <c:v>Latte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Americano</c:v>
                </c:pt>
                <c:pt idx="4">
                  <c:v>Hot Chocolate</c:v>
                </c:pt>
                <c:pt idx="5">
                  <c:v>Cocoa</c:v>
                </c:pt>
                <c:pt idx="6">
                  <c:v>Cortado</c:v>
                </c:pt>
                <c:pt idx="7">
                  <c:v>Espresso</c:v>
                </c:pt>
              </c:strCache>
            </c:strRef>
          </c:cat>
          <c:val>
            <c:numRef>
              <c:f>Analyse_Produits!$C$3:$C$10</c:f>
              <c:numCache>
                <c:formatCode>#,##0.00" €"</c:formatCode>
                <c:ptCount val="8"/>
                <c:pt idx="0">
                  <c:v>26875.3</c:v>
                </c:pt>
                <c:pt idx="1">
                  <c:v>24751.119999999999</c:v>
                </c:pt>
                <c:pt idx="2">
                  <c:v>17439.14</c:v>
                </c:pt>
                <c:pt idx="3">
                  <c:v>14650.26</c:v>
                </c:pt>
                <c:pt idx="4">
                  <c:v>9933.4599999999991</c:v>
                </c:pt>
                <c:pt idx="5">
                  <c:v>8521.16</c:v>
                </c:pt>
                <c:pt idx="6">
                  <c:v>7384.86</c:v>
                </c:pt>
                <c:pt idx="7">
                  <c:v>2690.28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4-463E-B771-4057F1C36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963225"/>
        <c:axId val="28098128"/>
      </c:barChart>
      <c:catAx>
        <c:axId val="319632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8098128"/>
        <c:crosses val="autoZero"/>
        <c:auto val="1"/>
        <c:lblAlgn val="ctr"/>
        <c:lblOffset val="100"/>
        <c:noMultiLvlLbl val="0"/>
      </c:catAx>
      <c:valAx>
        <c:axId val="2809812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&quot; €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96322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Répartition Mensuelle du 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Ventes_Mensuelles!$D$2</c:f>
              <c:strCache>
                <c:ptCount val="1"/>
                <c:pt idx="0">
                  <c:v>CA (€)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006633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37E-430A-A2E5-E87477C9A409}"/>
              </c:ext>
            </c:extLst>
          </c:dPt>
          <c:dPt>
            <c:idx val="1"/>
            <c:bubble3D val="0"/>
            <c:spPr>
              <a:solidFill>
                <a:srgbClr val="008844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37E-430A-A2E5-E87477C9A409}"/>
              </c:ext>
            </c:extLst>
          </c:dPt>
          <c:dPt>
            <c:idx val="2"/>
            <c:bubble3D val="0"/>
            <c:spPr>
              <a:solidFill>
                <a:srgbClr val="00AA55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37E-430A-A2E5-E87477C9A409}"/>
              </c:ext>
            </c:extLst>
          </c:dPt>
          <c:dPt>
            <c:idx val="3"/>
            <c:bubble3D val="0"/>
            <c:spPr>
              <a:solidFill>
                <a:srgbClr val="33BB77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737E-430A-A2E5-E87477C9A409}"/>
              </c:ext>
            </c:extLst>
          </c:dPt>
          <c:dPt>
            <c:idx val="4"/>
            <c:bubble3D val="0"/>
            <c:spPr>
              <a:solidFill>
                <a:srgbClr val="D4A017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737E-430A-A2E5-E87477C9A409}"/>
              </c:ext>
            </c:extLst>
          </c:dPt>
          <c:dPt>
            <c:idx val="5"/>
            <c:bubble3D val="0"/>
            <c:spPr>
              <a:solidFill>
                <a:srgbClr val="E8A02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737E-430A-A2E5-E87477C9A409}"/>
              </c:ext>
            </c:extLst>
          </c:dPt>
          <c:dPt>
            <c:idx val="6"/>
            <c:bubble3D val="0"/>
            <c:spPr>
              <a:solidFill>
                <a:srgbClr val="F0B04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737E-430A-A2E5-E87477C9A409}"/>
              </c:ext>
            </c:extLst>
          </c:dPt>
          <c:dPt>
            <c:idx val="7"/>
            <c:bubble3D val="0"/>
            <c:spPr>
              <a:solidFill>
                <a:srgbClr val="C8D45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737E-430A-A2E5-E87477C9A409}"/>
              </c:ext>
            </c:extLst>
          </c:dPt>
          <c:dPt>
            <c:idx val="8"/>
            <c:bubble3D val="0"/>
            <c:spPr>
              <a:solidFill>
                <a:srgbClr val="2E86A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737E-430A-A2E5-E87477C9A409}"/>
              </c:ext>
            </c:extLst>
          </c:dPt>
          <c:dPt>
            <c:idx val="9"/>
            <c:bubble3D val="0"/>
            <c:spPr>
              <a:solidFill>
                <a:srgbClr val="1A6090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3-737E-430A-A2E5-E87477C9A409}"/>
              </c:ext>
            </c:extLst>
          </c:dPt>
          <c:dPt>
            <c:idx val="10"/>
            <c:bubble3D val="0"/>
            <c:spPr>
              <a:solidFill>
                <a:srgbClr val="A23B72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5-737E-430A-A2E5-E87477C9A409}"/>
              </c:ext>
            </c:extLst>
          </c:dPt>
          <c:dPt>
            <c:idx val="11"/>
            <c:bubble3D val="0"/>
            <c:spPr>
              <a:solidFill>
                <a:srgbClr val="C73E1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17-737E-430A-A2E5-E87477C9A40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737E-430A-A2E5-E87477C9A40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737E-430A-A2E5-E87477C9A40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737E-430A-A2E5-E87477C9A40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737E-430A-A2E5-E87477C9A409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737E-430A-A2E5-E87477C9A409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737E-430A-A2E5-E87477C9A409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737E-430A-A2E5-E87477C9A409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737E-430A-A2E5-E87477C9A409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1-737E-430A-A2E5-E87477C9A409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3-737E-430A-A2E5-E87477C9A409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5-737E-430A-A2E5-E87477C9A409}"/>
                </c:ext>
              </c:extLst>
            </c:dLbl>
            <c:dLbl>
              <c:idx val="1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17-737E-430A-A2E5-E87477C9A40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1"/>
            <c:showCatName val="1"/>
            <c:showSerName val="1"/>
            <c:showPercent val="1"/>
            <c:showBubbleSize val="1"/>
            <c:separator>;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Ventes_Mensuelles!$A$3:$A$14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Ventes_Mensuelles!$D$3:$D$14</c:f>
              <c:numCache>
                <c:formatCode>#,##0.00" €"</c:formatCode>
                <c:ptCount val="12"/>
                <c:pt idx="0">
                  <c:v>6398.86</c:v>
                </c:pt>
                <c:pt idx="1">
                  <c:v>13215.48</c:v>
                </c:pt>
                <c:pt idx="2">
                  <c:v>15891.64</c:v>
                </c:pt>
                <c:pt idx="3">
                  <c:v>5719.56</c:v>
                </c:pt>
                <c:pt idx="4">
                  <c:v>8164.42</c:v>
                </c:pt>
                <c:pt idx="5">
                  <c:v>7617.76</c:v>
                </c:pt>
                <c:pt idx="6">
                  <c:v>6915.94</c:v>
                </c:pt>
                <c:pt idx="7">
                  <c:v>7613.84</c:v>
                </c:pt>
                <c:pt idx="8">
                  <c:v>9988.64</c:v>
                </c:pt>
                <c:pt idx="9">
                  <c:v>13891.16</c:v>
                </c:pt>
                <c:pt idx="10">
                  <c:v>8590.5400000000009</c:v>
                </c:pt>
                <c:pt idx="11">
                  <c:v>8237.74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37E-430A-A2E5-E87477C9A4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Chiffre d'Affaires Mensuel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Ventes_Mensuelles!$D$2</c:f>
              <c:strCache>
                <c:ptCount val="1"/>
                <c:pt idx="0">
                  <c:v>CA (€)</c:v>
                </c:pt>
              </c:strCache>
            </c:strRef>
          </c:tx>
          <c:spPr>
            <a:solidFill>
              <a:srgbClr val="006633"/>
            </a:solidFill>
            <a:ln w="9360">
              <a:solidFill>
                <a:srgbClr val="006633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Ventes_Mensuelles!$A$3:$A$14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Ventes_Mensuelles!$D$3:$D$14</c:f>
              <c:numCache>
                <c:formatCode>#,##0.00" €"</c:formatCode>
                <c:ptCount val="12"/>
                <c:pt idx="0">
                  <c:v>6398.86</c:v>
                </c:pt>
                <c:pt idx="1">
                  <c:v>13215.48</c:v>
                </c:pt>
                <c:pt idx="2">
                  <c:v>15891.64</c:v>
                </c:pt>
                <c:pt idx="3">
                  <c:v>5719.56</c:v>
                </c:pt>
                <c:pt idx="4">
                  <c:v>8164.42</c:v>
                </c:pt>
                <c:pt idx="5">
                  <c:v>7617.76</c:v>
                </c:pt>
                <c:pt idx="6">
                  <c:v>6915.94</c:v>
                </c:pt>
                <c:pt idx="7">
                  <c:v>7613.84</c:v>
                </c:pt>
                <c:pt idx="8">
                  <c:v>9988.64</c:v>
                </c:pt>
                <c:pt idx="9">
                  <c:v>13891.16</c:v>
                </c:pt>
                <c:pt idx="10">
                  <c:v>8590.5400000000009</c:v>
                </c:pt>
                <c:pt idx="11">
                  <c:v>8237.74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AC-4B1D-AAFB-E42CE8F0A3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3493563"/>
        <c:axId val="44898905"/>
      </c:barChart>
      <c:catAx>
        <c:axId val="834935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Mois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898905"/>
        <c:crosses val="autoZero"/>
        <c:auto val="1"/>
        <c:lblAlgn val="ctr"/>
        <c:lblOffset val="100"/>
        <c:noMultiLvlLbl val="0"/>
      </c:catAx>
      <c:valAx>
        <c:axId val="4489890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34935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Transactions Mensuelles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Ventes_Mensuelles!$C$2</c:f>
              <c:strCache>
                <c:ptCount val="1"/>
                <c:pt idx="0">
                  <c:v>Transactions</c:v>
                </c:pt>
              </c:strCache>
            </c:strRef>
          </c:tx>
          <c:spPr>
            <a:ln w="24840">
              <a:solidFill>
                <a:srgbClr val="D4A017"/>
              </a:solidFill>
              <a:round/>
            </a:ln>
          </c:spPr>
          <c:marker>
            <c:symbol val="circle"/>
            <c:size val="6"/>
            <c:spPr>
              <a:solidFill>
                <a:srgbClr val="D4A01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Ventes_Mensuelles!$A$3:$A$14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Ventes_Mensuelles!$C$3:$C$14</c:f>
              <c:numCache>
                <c:formatCode>#,##0</c:formatCode>
                <c:ptCount val="12"/>
                <c:pt idx="0">
                  <c:v>201</c:v>
                </c:pt>
                <c:pt idx="1">
                  <c:v>423</c:v>
                </c:pt>
                <c:pt idx="2">
                  <c:v>494</c:v>
                </c:pt>
                <c:pt idx="3">
                  <c:v>168</c:v>
                </c:pt>
                <c:pt idx="4">
                  <c:v>241</c:v>
                </c:pt>
                <c:pt idx="5">
                  <c:v>223</c:v>
                </c:pt>
                <c:pt idx="6">
                  <c:v>237</c:v>
                </c:pt>
                <c:pt idx="7">
                  <c:v>272</c:v>
                </c:pt>
                <c:pt idx="8">
                  <c:v>344</c:v>
                </c:pt>
                <c:pt idx="9">
                  <c:v>426</c:v>
                </c:pt>
                <c:pt idx="10">
                  <c:v>259</c:v>
                </c:pt>
                <c:pt idx="11">
                  <c:v>259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5C-4E13-AB49-552BF94BAD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6207834"/>
        <c:axId val="14928110"/>
      </c:lineChart>
      <c:catAx>
        <c:axId val="162078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Mois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4928110"/>
        <c:crosses val="autoZero"/>
        <c:auto val="1"/>
        <c:lblAlgn val="ctr"/>
        <c:lblOffset val="100"/>
        <c:noMultiLvlLbl val="0"/>
      </c:catAx>
      <c:valAx>
        <c:axId val="1492811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Nombre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62078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CA par Produit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Analyse_Produits!$C$2</c:f>
              <c:strCache>
                <c:ptCount val="1"/>
                <c:pt idx="0">
                  <c:v>CA (€)</c:v>
                </c:pt>
              </c:strCache>
            </c:strRef>
          </c:tx>
          <c:spPr>
            <a:solidFill>
              <a:srgbClr val="006633"/>
            </a:solidFill>
            <a:ln w="9360">
              <a:solidFill>
                <a:srgbClr val="006633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Analyse_Produits!$A$3:$A$10</c:f>
              <c:strCache>
                <c:ptCount val="8"/>
                <c:pt idx="0">
                  <c:v>Latte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Americano</c:v>
                </c:pt>
                <c:pt idx="4">
                  <c:v>Hot Chocolate</c:v>
                </c:pt>
                <c:pt idx="5">
                  <c:v>Cocoa</c:v>
                </c:pt>
                <c:pt idx="6">
                  <c:v>Cortado</c:v>
                </c:pt>
                <c:pt idx="7">
                  <c:v>Espresso</c:v>
                </c:pt>
              </c:strCache>
            </c:strRef>
          </c:cat>
          <c:val>
            <c:numRef>
              <c:f>Analyse_Produits!$C$3:$C$10</c:f>
              <c:numCache>
                <c:formatCode>#,##0.00" €"</c:formatCode>
                <c:ptCount val="8"/>
                <c:pt idx="0">
                  <c:v>26875.3</c:v>
                </c:pt>
                <c:pt idx="1">
                  <c:v>24751.119999999999</c:v>
                </c:pt>
                <c:pt idx="2">
                  <c:v>17439.14</c:v>
                </c:pt>
                <c:pt idx="3">
                  <c:v>14650.26</c:v>
                </c:pt>
                <c:pt idx="4">
                  <c:v>9933.4599999999991</c:v>
                </c:pt>
                <c:pt idx="5">
                  <c:v>8521.16</c:v>
                </c:pt>
                <c:pt idx="6">
                  <c:v>7384.86</c:v>
                </c:pt>
                <c:pt idx="7">
                  <c:v>2690.28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04-442B-BF9C-B149F9E248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3717734"/>
        <c:axId val="86865365"/>
      </c:barChart>
      <c:catAx>
        <c:axId val="2371773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6865365"/>
        <c:crosses val="autoZero"/>
        <c:auto val="1"/>
        <c:lblAlgn val="ctr"/>
        <c:lblOffset val="100"/>
        <c:noMultiLvlLbl val="0"/>
      </c:catAx>
      <c:valAx>
        <c:axId val="86865365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Produit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71773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Répartition du CA par Produit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Analyse_Produits!$C$2</c:f>
              <c:strCache>
                <c:ptCount val="1"/>
                <c:pt idx="0">
                  <c:v>CA (€)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dPt>
            <c:idx val="0"/>
            <c:bubble3D val="0"/>
            <c:spPr>
              <a:solidFill>
                <a:srgbClr val="006633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4D7F-412E-8571-67BDA0C8A499}"/>
              </c:ext>
            </c:extLst>
          </c:dPt>
          <c:dPt>
            <c:idx val="1"/>
            <c:bubble3D val="0"/>
            <c:spPr>
              <a:solidFill>
                <a:srgbClr val="D4A017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4D7F-412E-8571-67BDA0C8A499}"/>
              </c:ext>
            </c:extLst>
          </c:dPt>
          <c:dPt>
            <c:idx val="2"/>
            <c:bubble3D val="0"/>
            <c:spPr>
              <a:solidFill>
                <a:srgbClr val="2E86AB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4D7F-412E-8571-67BDA0C8A499}"/>
              </c:ext>
            </c:extLst>
          </c:dPt>
          <c:dPt>
            <c:idx val="3"/>
            <c:bubble3D val="0"/>
            <c:spPr>
              <a:solidFill>
                <a:srgbClr val="E84855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4D7F-412E-8571-67BDA0C8A499}"/>
              </c:ext>
            </c:extLst>
          </c:dPt>
          <c:dPt>
            <c:idx val="4"/>
            <c:bubble3D val="0"/>
            <c:spPr>
              <a:solidFill>
                <a:srgbClr val="3BB273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4D7F-412E-8571-67BDA0C8A499}"/>
              </c:ext>
            </c:extLst>
          </c:dPt>
          <c:dPt>
            <c:idx val="5"/>
            <c:bubble3D val="0"/>
            <c:spPr>
              <a:solidFill>
                <a:srgbClr val="F18F01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4D7F-412E-8571-67BDA0C8A499}"/>
              </c:ext>
            </c:extLst>
          </c:dPt>
          <c:dPt>
            <c:idx val="6"/>
            <c:bubble3D val="0"/>
            <c:spPr>
              <a:solidFill>
                <a:srgbClr val="A23B72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4D7F-412E-8571-67BDA0C8A499}"/>
              </c:ext>
            </c:extLst>
          </c:dPt>
          <c:dPt>
            <c:idx val="7"/>
            <c:bubble3D val="0"/>
            <c:spPr>
              <a:solidFill>
                <a:srgbClr val="C73E1D"/>
              </a:solidFill>
              <a:ln w="0">
                <a:solidFill>
                  <a:srgbClr val="00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4D7F-412E-8571-67BDA0C8A499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4D7F-412E-8571-67BDA0C8A499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4D7F-412E-8571-67BDA0C8A499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4D7F-412E-8571-67BDA0C8A499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4D7F-412E-8571-67BDA0C8A499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4D7F-412E-8571-67BDA0C8A499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4D7F-412E-8571-67BDA0C8A499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4D7F-412E-8571-67BDA0C8A499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F-4D7F-412E-8571-67BDA0C8A49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1"/>
            <c:showBubbleSize val="1"/>
            <c:separator>
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Analyse_Produits!$A$3:$A$10</c:f>
              <c:strCache>
                <c:ptCount val="8"/>
                <c:pt idx="0">
                  <c:v>Latte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Americano</c:v>
                </c:pt>
                <c:pt idx="4">
                  <c:v>Hot Chocolate</c:v>
                </c:pt>
                <c:pt idx="5">
                  <c:v>Cocoa</c:v>
                </c:pt>
                <c:pt idx="6">
                  <c:v>Cortado</c:v>
                </c:pt>
                <c:pt idx="7">
                  <c:v>Espresso</c:v>
                </c:pt>
              </c:strCache>
            </c:strRef>
          </c:cat>
          <c:val>
            <c:numRef>
              <c:f>Analyse_Produits!$C$3:$C$10</c:f>
              <c:numCache>
                <c:formatCode>#,##0.00" €"</c:formatCode>
                <c:ptCount val="8"/>
                <c:pt idx="0">
                  <c:v>26875.3</c:v>
                </c:pt>
                <c:pt idx="1">
                  <c:v>24751.119999999999</c:v>
                </c:pt>
                <c:pt idx="2">
                  <c:v>17439.14</c:v>
                </c:pt>
                <c:pt idx="3">
                  <c:v>14650.26</c:v>
                </c:pt>
                <c:pt idx="4">
                  <c:v>9933.4599999999991</c:v>
                </c:pt>
                <c:pt idx="5">
                  <c:v>8521.16</c:v>
                </c:pt>
                <c:pt idx="6">
                  <c:v>7384.86</c:v>
                </c:pt>
                <c:pt idx="7">
                  <c:v>2690.28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D7F-412E-8571-67BDA0C8A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Volume Ventes vs CA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Analyse_Produits!$B$2</c:f>
              <c:strCache>
                <c:ptCount val="1"/>
                <c:pt idx="0">
                  <c:v>Transactions</c:v>
                </c:pt>
              </c:strCache>
            </c:strRef>
          </c:tx>
          <c:spPr>
            <a:solidFill>
              <a:srgbClr val="006633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Analyse_Produits!$A$3:$A$10</c:f>
              <c:strCache>
                <c:ptCount val="8"/>
                <c:pt idx="0">
                  <c:v>Latte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Americano</c:v>
                </c:pt>
                <c:pt idx="4">
                  <c:v>Hot Chocolate</c:v>
                </c:pt>
                <c:pt idx="5">
                  <c:v>Cocoa</c:v>
                </c:pt>
                <c:pt idx="6">
                  <c:v>Cortado</c:v>
                </c:pt>
                <c:pt idx="7">
                  <c:v>Espresso</c:v>
                </c:pt>
              </c:strCache>
            </c:strRef>
          </c:cat>
          <c:val>
            <c:numRef>
              <c:f>Analyse_Produits!$B$3:$B$10</c:f>
              <c:numCache>
                <c:formatCode>#,##0</c:formatCode>
                <c:ptCount val="8"/>
                <c:pt idx="0">
                  <c:v>757</c:v>
                </c:pt>
                <c:pt idx="1">
                  <c:v>809</c:v>
                </c:pt>
                <c:pt idx="2">
                  <c:v>486</c:v>
                </c:pt>
                <c:pt idx="3">
                  <c:v>564</c:v>
                </c:pt>
                <c:pt idx="4">
                  <c:v>276</c:v>
                </c:pt>
                <c:pt idx="5">
                  <c:v>239</c:v>
                </c:pt>
                <c:pt idx="6">
                  <c:v>287</c:v>
                </c:pt>
                <c:pt idx="7">
                  <c:v>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68-4531-9206-0307132359A8}"/>
            </c:ext>
          </c:extLst>
        </c:ser>
        <c:ser>
          <c:idx val="1"/>
          <c:order val="1"/>
          <c:tx>
            <c:strRef>
              <c:f>Analyse_Produits!$C$2</c:f>
              <c:strCache>
                <c:ptCount val="1"/>
                <c:pt idx="0">
                  <c:v>CA (€)</c:v>
                </c:pt>
              </c:strCache>
            </c:strRef>
          </c:tx>
          <c:spPr>
            <a:solidFill>
              <a:srgbClr val="D4A017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Analyse_Produits!$A$3:$A$10</c:f>
              <c:strCache>
                <c:ptCount val="8"/>
                <c:pt idx="0">
                  <c:v>Latte</c:v>
                </c:pt>
                <c:pt idx="1">
                  <c:v>Americano with Milk</c:v>
                </c:pt>
                <c:pt idx="2">
                  <c:v>Cappuccino</c:v>
                </c:pt>
                <c:pt idx="3">
                  <c:v>Americano</c:v>
                </c:pt>
                <c:pt idx="4">
                  <c:v>Hot Chocolate</c:v>
                </c:pt>
                <c:pt idx="5">
                  <c:v>Cocoa</c:v>
                </c:pt>
                <c:pt idx="6">
                  <c:v>Cortado</c:v>
                </c:pt>
                <c:pt idx="7">
                  <c:v>Espresso</c:v>
                </c:pt>
              </c:strCache>
            </c:strRef>
          </c:cat>
          <c:val>
            <c:numRef>
              <c:f>Analyse_Produits!$C$3:$C$10</c:f>
              <c:numCache>
                <c:formatCode>#,##0.00" €"</c:formatCode>
                <c:ptCount val="8"/>
                <c:pt idx="0">
                  <c:v>26875.3</c:v>
                </c:pt>
                <c:pt idx="1">
                  <c:v>24751.119999999999</c:v>
                </c:pt>
                <c:pt idx="2">
                  <c:v>17439.14</c:v>
                </c:pt>
                <c:pt idx="3">
                  <c:v>14650.26</c:v>
                </c:pt>
                <c:pt idx="4">
                  <c:v>9933.4599999999991</c:v>
                </c:pt>
                <c:pt idx="5">
                  <c:v>8521.16</c:v>
                </c:pt>
                <c:pt idx="6">
                  <c:v>7384.86</c:v>
                </c:pt>
                <c:pt idx="7">
                  <c:v>2690.28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68-4531-9206-030713235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517163"/>
        <c:axId val="75265842"/>
      </c:barChart>
      <c:catAx>
        <c:axId val="455171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75265842"/>
        <c:crosses val="autoZero"/>
        <c:auto val="1"/>
        <c:lblAlgn val="ctr"/>
        <c:lblOffset val="100"/>
        <c:noMultiLvlLbl val="0"/>
      </c:catAx>
      <c:valAx>
        <c:axId val="7526584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51716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CA par Jour de la Semaine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Analyse_Temporelle!$C$3</c:f>
              <c:strCache>
                <c:ptCount val="1"/>
                <c:pt idx="0">
                  <c:v>CA (€)</c:v>
                </c:pt>
              </c:strCache>
            </c:strRef>
          </c:tx>
          <c:spPr>
            <a:solidFill>
              <a:srgbClr val="006633"/>
            </a:solidFill>
            <a:ln w="9360">
              <a:solidFill>
                <a:srgbClr val="006633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Analyse_Temporelle!$A$4:$A$10</c:f>
              <c:strCache>
                <c:ptCount val="7"/>
                <c:pt idx="0">
                  <c:v>Lundi</c:v>
                </c:pt>
                <c:pt idx="1">
                  <c:v>Mardi</c:v>
                </c:pt>
                <c:pt idx="2">
                  <c:v>Mercredi</c:v>
                </c:pt>
                <c:pt idx="3">
                  <c:v>Jeudi</c:v>
                </c:pt>
                <c:pt idx="4">
                  <c:v>Vendredi</c:v>
                </c:pt>
                <c:pt idx="5">
                  <c:v>Samedi</c:v>
                </c:pt>
                <c:pt idx="6">
                  <c:v>Dimanche</c:v>
                </c:pt>
              </c:strCache>
            </c:strRef>
          </c:cat>
          <c:val>
            <c:numRef>
              <c:f>Analyse_Temporelle!$C$4:$C$10</c:f>
              <c:numCache>
                <c:formatCode>#,##0.00" €"</c:formatCode>
                <c:ptCount val="7"/>
                <c:pt idx="0">
                  <c:v>17363.099999999999</c:v>
                </c:pt>
                <c:pt idx="1">
                  <c:v>18168.38</c:v>
                </c:pt>
                <c:pt idx="2">
                  <c:v>15750.46</c:v>
                </c:pt>
                <c:pt idx="3">
                  <c:v>16091.4</c:v>
                </c:pt>
                <c:pt idx="4">
                  <c:v>16802.66</c:v>
                </c:pt>
                <c:pt idx="5">
                  <c:v>14733.52</c:v>
                </c:pt>
                <c:pt idx="6">
                  <c:v>13336.06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EF5-9267-0457E7328D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969502"/>
        <c:axId val="26634758"/>
      </c:barChart>
      <c:catAx>
        <c:axId val="89695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634758"/>
        <c:crosses val="autoZero"/>
        <c:auto val="1"/>
        <c:lblAlgn val="ctr"/>
        <c:lblOffset val="100"/>
        <c:noMultiLvlLbl val="0"/>
      </c:catAx>
      <c:valAx>
        <c:axId val="2663475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0&quot; €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96950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Distribution Horaire du CA (€)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Analyse_Temporelle!$H$3</c:f>
              <c:strCache>
                <c:ptCount val="1"/>
                <c:pt idx="0">
                  <c:v>CA (€)</c:v>
                </c:pt>
              </c:strCache>
            </c:strRef>
          </c:tx>
          <c:spPr>
            <a:ln w="28080">
              <a:solidFill>
                <a:srgbClr val="D4A017"/>
              </a:solidFill>
              <a:round/>
            </a:ln>
          </c:spPr>
          <c:marker>
            <c:symbol val="diamond"/>
            <c:size val="5"/>
            <c:spPr>
              <a:solidFill>
                <a:srgbClr val="D4A017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Analyse_Temporelle!$F$4:$F$20</c:f>
              <c:strCache>
                <c:ptCount val="17"/>
                <c:pt idx="0">
                  <c:v>6h00</c:v>
                </c:pt>
                <c:pt idx="1">
                  <c:v>7h00</c:v>
                </c:pt>
                <c:pt idx="2">
                  <c:v>8h00</c:v>
                </c:pt>
                <c:pt idx="3">
                  <c:v>9h00</c:v>
                </c:pt>
                <c:pt idx="4">
                  <c:v>10h00</c:v>
                </c:pt>
                <c:pt idx="5">
                  <c:v>11h00</c:v>
                </c:pt>
                <c:pt idx="6">
                  <c:v>12h00</c:v>
                </c:pt>
                <c:pt idx="7">
                  <c:v>13h00</c:v>
                </c:pt>
                <c:pt idx="8">
                  <c:v>14h00</c:v>
                </c:pt>
                <c:pt idx="9">
                  <c:v>15h00</c:v>
                </c:pt>
                <c:pt idx="10">
                  <c:v>16h00</c:v>
                </c:pt>
                <c:pt idx="11">
                  <c:v>17h00</c:v>
                </c:pt>
                <c:pt idx="12">
                  <c:v>18h00</c:v>
                </c:pt>
                <c:pt idx="13">
                  <c:v>19h00</c:v>
                </c:pt>
                <c:pt idx="14">
                  <c:v>20h00</c:v>
                </c:pt>
                <c:pt idx="15">
                  <c:v>21h00</c:v>
                </c:pt>
                <c:pt idx="16">
                  <c:v>22h00</c:v>
                </c:pt>
              </c:strCache>
            </c:strRef>
          </c:cat>
          <c:val>
            <c:numRef>
              <c:f>Analyse_Temporelle!$H$4:$H$20</c:f>
              <c:numCache>
                <c:formatCode>#,##0.00" €"</c:formatCode>
                <c:ptCount val="17"/>
                <c:pt idx="0">
                  <c:v>149.4</c:v>
                </c:pt>
                <c:pt idx="1">
                  <c:v>2846.02</c:v>
                </c:pt>
                <c:pt idx="2">
                  <c:v>7017.88</c:v>
                </c:pt>
                <c:pt idx="3">
                  <c:v>7264.28</c:v>
                </c:pt>
                <c:pt idx="4">
                  <c:v>10198.52</c:v>
                </c:pt>
                <c:pt idx="5">
                  <c:v>8453.1</c:v>
                </c:pt>
                <c:pt idx="6">
                  <c:v>7419.62</c:v>
                </c:pt>
                <c:pt idx="7">
                  <c:v>7028.76</c:v>
                </c:pt>
                <c:pt idx="8">
                  <c:v>7173.8</c:v>
                </c:pt>
                <c:pt idx="9">
                  <c:v>7476.02</c:v>
                </c:pt>
                <c:pt idx="10">
                  <c:v>9031.84</c:v>
                </c:pt>
                <c:pt idx="11">
                  <c:v>7659.76</c:v>
                </c:pt>
                <c:pt idx="12">
                  <c:v>7162.6</c:v>
                </c:pt>
                <c:pt idx="13">
                  <c:v>7751.96</c:v>
                </c:pt>
                <c:pt idx="14">
                  <c:v>5578.92</c:v>
                </c:pt>
                <c:pt idx="15">
                  <c:v>6397.94</c:v>
                </c:pt>
                <c:pt idx="16">
                  <c:v>3635.16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5CF-4742-BE8F-CA6EE5FB19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0146728"/>
        <c:axId val="53918446"/>
      </c:lineChart>
      <c:catAx>
        <c:axId val="301467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Heure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3918446"/>
        <c:crosses val="autoZero"/>
        <c:auto val="1"/>
        <c:lblAlgn val="ctr"/>
        <c:lblOffset val="100"/>
        <c:noMultiLvlLbl val="0"/>
      </c:catAx>
      <c:valAx>
        <c:axId val="5391844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CA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014672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24</xdr:row>
      <xdr:rowOff>174240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0</xdr:rowOff>
    </xdr:from>
    <xdr:to>
      <xdr:col>18</xdr:col>
      <xdr:colOff>256320</xdr:colOff>
      <xdr:row>43</xdr:row>
      <xdr:rowOff>41040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17</xdr:col>
      <xdr:colOff>364680</xdr:colOff>
      <xdr:row>22</xdr:row>
      <xdr:rowOff>185760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19</xdr:row>
      <xdr:rowOff>0</xdr:rowOff>
    </xdr:from>
    <xdr:to>
      <xdr:col>17</xdr:col>
      <xdr:colOff>364680</xdr:colOff>
      <xdr:row>41</xdr:row>
      <xdr:rowOff>128880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</xdr:row>
      <xdr:rowOff>0</xdr:rowOff>
    </xdr:from>
    <xdr:to>
      <xdr:col>18</xdr:col>
      <xdr:colOff>364680</xdr:colOff>
      <xdr:row>25</xdr:row>
      <xdr:rowOff>107640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17</xdr:col>
      <xdr:colOff>255960</xdr:colOff>
      <xdr:row>41</xdr:row>
      <xdr:rowOff>107640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33</xdr:row>
      <xdr:rowOff>0</xdr:rowOff>
    </xdr:from>
    <xdr:to>
      <xdr:col>18</xdr:col>
      <xdr:colOff>364680</xdr:colOff>
      <xdr:row>55</xdr:row>
      <xdr:rowOff>128880</xdr:rowOff>
    </xdr:to>
    <xdr:graphicFrame macro="">
      <xdr:nvGraphicFramePr>
        <xdr:cNvPr id="6" name="Chart 3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</xdr:row>
      <xdr:rowOff>0</xdr:rowOff>
    </xdr:from>
    <xdr:to>
      <xdr:col>20</xdr:col>
      <xdr:colOff>4680</xdr:colOff>
      <xdr:row>23</xdr:row>
      <xdr:rowOff>128520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19</xdr:row>
      <xdr:rowOff>0</xdr:rowOff>
    </xdr:from>
    <xdr:to>
      <xdr:col>20</xdr:col>
      <xdr:colOff>4680</xdr:colOff>
      <xdr:row>41</xdr:row>
      <xdr:rowOff>128520</xdr:rowOff>
    </xdr:to>
    <xdr:graphicFrame macro="">
      <xdr:nvGraphicFramePr>
        <xdr:cNvPr id="8" name="Chart 2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6633"/>
  </sheetPr>
  <dimension ref="A1:H31"/>
  <sheetViews>
    <sheetView tabSelected="1" zoomScaleNormal="100" workbookViewId="0">
      <pane ySplit="2" topLeftCell="A8" activePane="bottomLeft" state="frozen"/>
      <selection pane="bottomLeft" sqref="A1:H1"/>
    </sheetView>
  </sheetViews>
  <sheetFormatPr defaultColWidth="8.7109375" defaultRowHeight="15" x14ac:dyDescent="0.25"/>
  <cols>
    <col min="1" max="1" width="24" customWidth="1"/>
    <col min="2" max="2" width="12" customWidth="1"/>
    <col min="3" max="4" width="14" customWidth="1"/>
    <col min="5" max="5" width="12" customWidth="1"/>
    <col min="6" max="8" width="8" customWidth="1"/>
  </cols>
  <sheetData>
    <row r="1" spans="1:8" ht="37.5" customHeight="1" x14ac:dyDescent="0.25">
      <c r="A1" s="11" t="s">
        <v>0</v>
      </c>
      <c r="B1" s="11"/>
      <c r="C1" s="11"/>
      <c r="D1" s="11"/>
      <c r="E1" s="11"/>
      <c r="F1" s="11"/>
      <c r="G1" s="11"/>
      <c r="H1" s="11"/>
    </row>
    <row r="2" spans="1:8" ht="21.75" customHeight="1" x14ac:dyDescent="0.25">
      <c r="A2" s="10" t="s">
        <v>1</v>
      </c>
      <c r="B2" s="10"/>
      <c r="C2" s="10"/>
      <c r="D2" s="10"/>
      <c r="E2" s="10"/>
      <c r="F2" s="10"/>
      <c r="G2" s="10"/>
      <c r="H2" s="10"/>
    </row>
    <row r="3" spans="1:8" ht="9.75" customHeight="1" x14ac:dyDescent="0.25"/>
    <row r="4" spans="1:8" ht="15" customHeight="1" x14ac:dyDescent="0.25">
      <c r="A4" s="9" t="s">
        <v>2</v>
      </c>
      <c r="B4" s="9"/>
      <c r="C4" s="9"/>
      <c r="D4" s="9"/>
      <c r="E4" s="9"/>
      <c r="F4" s="9"/>
      <c r="G4" s="9"/>
      <c r="H4" s="9"/>
    </row>
    <row r="5" spans="1:8" ht="7.5" customHeight="1" x14ac:dyDescent="0.25"/>
    <row r="6" spans="1:8" ht="19.5" customHeight="1" x14ac:dyDescent="0.25">
      <c r="A6" s="8" t="s">
        <v>3</v>
      </c>
      <c r="B6" s="8"/>
      <c r="C6" s="8" t="s">
        <v>4</v>
      </c>
      <c r="D6" s="8"/>
      <c r="E6" s="8" t="s">
        <v>5</v>
      </c>
      <c r="F6" s="8"/>
      <c r="G6" s="8" t="s">
        <v>6</v>
      </c>
      <c r="H6" s="8"/>
    </row>
    <row r="7" spans="1:8" ht="36" customHeight="1" x14ac:dyDescent="0.25">
      <c r="A7" s="7">
        <f>Ventes_Mensuelles!D15</f>
        <v>112245.58</v>
      </c>
      <c r="B7" s="7"/>
      <c r="C7" s="6">
        <f>Ventes_Mensuelles!C15</f>
        <v>3547</v>
      </c>
      <c r="D7" s="6"/>
      <c r="E7" s="7">
        <f>Ventes_Mensuelles!E15</f>
        <v>31.645215675218495</v>
      </c>
      <c r="F7" s="7"/>
      <c r="G7" s="5" t="s">
        <v>7</v>
      </c>
      <c r="H7" s="5"/>
    </row>
    <row r="8" spans="1:8" ht="21.75" customHeight="1" x14ac:dyDescent="0.25">
      <c r="A8" s="4" t="s">
        <v>8</v>
      </c>
      <c r="B8" s="4"/>
      <c r="C8" s="4" t="s">
        <v>9</v>
      </c>
      <c r="D8" s="4"/>
      <c r="E8" s="4" t="s">
        <v>10</v>
      </c>
      <c r="F8" s="4"/>
      <c r="G8" s="4" t="s">
        <v>11</v>
      </c>
      <c r="H8" s="4"/>
    </row>
    <row r="13" spans="1:8" ht="19.5" customHeight="1" x14ac:dyDescent="0.25">
      <c r="A13" s="8" t="s">
        <v>12</v>
      </c>
      <c r="B13" s="8"/>
      <c r="C13" s="8" t="s">
        <v>13</v>
      </c>
      <c r="D13" s="8"/>
    </row>
    <row r="14" spans="1:8" ht="13.5" customHeight="1" x14ac:dyDescent="0.25">
      <c r="A14" s="5" t="s">
        <v>14</v>
      </c>
      <c r="B14" s="5"/>
      <c r="C14" s="5" t="s">
        <v>15</v>
      </c>
      <c r="D14" s="5"/>
    </row>
    <row r="15" spans="1:8" ht="21.75" customHeight="1" x14ac:dyDescent="0.25">
      <c r="A15" s="4" t="s">
        <v>16</v>
      </c>
      <c r="B15" s="4"/>
      <c r="C15" s="4" t="s">
        <v>17</v>
      </c>
      <c r="D15" s="4"/>
    </row>
    <row r="20" spans="1:8" ht="13.5" customHeight="1" x14ac:dyDescent="0.25"/>
    <row r="21" spans="1:8" ht="21.75" customHeight="1" x14ac:dyDescent="0.25">
      <c r="A21" s="9" t="s">
        <v>18</v>
      </c>
      <c r="B21" s="9"/>
      <c r="C21" s="9"/>
      <c r="D21" s="9"/>
      <c r="E21" s="9"/>
      <c r="F21" s="9"/>
      <c r="G21" s="9"/>
      <c r="H21" s="9"/>
    </row>
    <row r="22" spans="1:8" ht="15" customHeight="1" x14ac:dyDescent="0.25">
      <c r="A22" s="12" t="s">
        <v>19</v>
      </c>
      <c r="B22" s="12" t="s">
        <v>20</v>
      </c>
      <c r="C22" s="12" t="s">
        <v>21</v>
      </c>
      <c r="D22" s="12" t="s">
        <v>22</v>
      </c>
      <c r="E22" s="12" t="s">
        <v>23</v>
      </c>
      <c r="F22" s="12" t="s">
        <v>24</v>
      </c>
    </row>
    <row r="23" spans="1:8" ht="15" customHeight="1" x14ac:dyDescent="0.25">
      <c r="A23" s="13" t="s">
        <v>7</v>
      </c>
      <c r="B23" s="14">
        <v>757</v>
      </c>
      <c r="C23" s="15">
        <v>26875.3</v>
      </c>
      <c r="D23" s="15">
        <f t="shared" ref="D23:D30" si="0">C23/B23</f>
        <v>35.502377807133421</v>
      </c>
      <c r="E23" s="16">
        <f>C23/SUM(C23:C30)</f>
        <v>0.23943303602689744</v>
      </c>
      <c r="F23" s="17">
        <f>RANK(C23,C23:C30,0)</f>
        <v>1</v>
      </c>
    </row>
    <row r="24" spans="1:8" ht="15" customHeight="1" x14ac:dyDescent="0.25">
      <c r="A24" s="18" t="s">
        <v>25</v>
      </c>
      <c r="B24" s="19">
        <v>809</v>
      </c>
      <c r="C24" s="20">
        <v>24751.119999999999</v>
      </c>
      <c r="D24" s="20">
        <f t="shared" si="0"/>
        <v>30.594709517923359</v>
      </c>
      <c r="E24" s="21">
        <f>C24/SUM(C23:C30)</f>
        <v>0.22050863829114695</v>
      </c>
      <c r="F24" s="22">
        <f>RANK(C24,C23:C30,0)</f>
        <v>2</v>
      </c>
    </row>
    <row r="25" spans="1:8" ht="15" customHeight="1" x14ac:dyDescent="0.25">
      <c r="A25" s="13" t="s">
        <v>26</v>
      </c>
      <c r="B25" s="14">
        <v>486</v>
      </c>
      <c r="C25" s="15">
        <v>17439.14</v>
      </c>
      <c r="D25" s="15">
        <f t="shared" si="0"/>
        <v>35.883004115226335</v>
      </c>
      <c r="E25" s="16">
        <f>C25/SUM(C23:C30)</f>
        <v>0.15536593957641806</v>
      </c>
      <c r="F25" s="23">
        <f>RANK(C25,C23:C30,0)</f>
        <v>3</v>
      </c>
    </row>
    <row r="26" spans="1:8" ht="15" customHeight="1" x14ac:dyDescent="0.25">
      <c r="A26" s="18" t="s">
        <v>27</v>
      </c>
      <c r="B26" s="19">
        <v>564</v>
      </c>
      <c r="C26" s="20">
        <v>14650.26</v>
      </c>
      <c r="D26" s="20">
        <f t="shared" si="0"/>
        <v>25.97563829787234</v>
      </c>
      <c r="E26" s="21">
        <f>C26/SUM(C23:C30)</f>
        <v>0.1305197050966283</v>
      </c>
      <c r="F26" s="22">
        <f>RANK(C26,C23:C30,0)</f>
        <v>4</v>
      </c>
    </row>
    <row r="27" spans="1:8" ht="15" customHeight="1" x14ac:dyDescent="0.25">
      <c r="A27" s="13" t="s">
        <v>28</v>
      </c>
      <c r="B27" s="14">
        <v>276</v>
      </c>
      <c r="C27" s="15">
        <v>9933.4599999999991</v>
      </c>
      <c r="D27" s="15">
        <f t="shared" si="0"/>
        <v>35.990797101449274</v>
      </c>
      <c r="E27" s="16">
        <f>C27/SUM(C23:C30)</f>
        <v>8.8497560438460021E-2</v>
      </c>
      <c r="F27" s="23">
        <f>RANK(C27,C23:C30,0)</f>
        <v>5</v>
      </c>
    </row>
    <row r="28" spans="1:8" ht="15" customHeight="1" x14ac:dyDescent="0.25">
      <c r="A28" s="18" t="s">
        <v>29</v>
      </c>
      <c r="B28" s="19">
        <v>239</v>
      </c>
      <c r="C28" s="20">
        <v>8521.16</v>
      </c>
      <c r="D28" s="20">
        <f t="shared" si="0"/>
        <v>35.653389121338911</v>
      </c>
      <c r="E28" s="21">
        <f>C28/SUM(C23:C30)</f>
        <v>7.5915327801771793E-2</v>
      </c>
      <c r="F28" s="22">
        <f>RANK(C28,C23:C30,0)</f>
        <v>6</v>
      </c>
    </row>
    <row r="29" spans="1:8" ht="15" customHeight="1" x14ac:dyDescent="0.25">
      <c r="A29" s="13" t="s">
        <v>30</v>
      </c>
      <c r="B29" s="14">
        <v>287</v>
      </c>
      <c r="C29" s="15">
        <v>7384.86</v>
      </c>
      <c r="D29" s="15">
        <f t="shared" si="0"/>
        <v>25.731219512195121</v>
      </c>
      <c r="E29" s="16">
        <f>C29/SUM(C23:C30)</f>
        <v>6.5791989314857649E-2</v>
      </c>
      <c r="F29" s="23">
        <f>RANK(C29,C23:C30,0)</f>
        <v>7</v>
      </c>
    </row>
    <row r="30" spans="1:8" ht="15" customHeight="1" x14ac:dyDescent="0.25">
      <c r="A30" s="18" t="s">
        <v>31</v>
      </c>
      <c r="B30" s="19">
        <v>129</v>
      </c>
      <c r="C30" s="20">
        <v>2690.28</v>
      </c>
      <c r="D30" s="20">
        <f t="shared" si="0"/>
        <v>20.854883720930236</v>
      </c>
      <c r="E30" s="21">
        <f>C30/SUM(C23:C30)</f>
        <v>2.3967803453819742E-2</v>
      </c>
      <c r="F30" s="22">
        <f>RANK(C30,C23:C30,0)</f>
        <v>8</v>
      </c>
    </row>
    <row r="31" spans="1:8" ht="15" customHeight="1" x14ac:dyDescent="0.25">
      <c r="A31" s="24" t="s">
        <v>32</v>
      </c>
      <c r="B31" s="25">
        <f>SUM(B23:B30)</f>
        <v>3547</v>
      </c>
      <c r="C31" s="26">
        <f>SUM(C23:C30)</f>
        <v>112245.58</v>
      </c>
      <c r="D31" s="24"/>
      <c r="E31" s="24"/>
      <c r="F31" s="24"/>
    </row>
  </sheetData>
  <mergeCells count="22">
    <mergeCell ref="A21:H21"/>
    <mergeCell ref="A13:B13"/>
    <mergeCell ref="C13:D13"/>
    <mergeCell ref="A14:B14"/>
    <mergeCell ref="C14:D14"/>
    <mergeCell ref="A15:B15"/>
    <mergeCell ref="C15:D15"/>
    <mergeCell ref="A7:B7"/>
    <mergeCell ref="C7:D7"/>
    <mergeCell ref="E7:F7"/>
    <mergeCell ref="G7:H7"/>
    <mergeCell ref="A8:B8"/>
    <mergeCell ref="C8:D8"/>
    <mergeCell ref="E8:F8"/>
    <mergeCell ref="G8:H8"/>
    <mergeCell ref="A1:H1"/>
    <mergeCell ref="A2:H2"/>
    <mergeCell ref="A4:H4"/>
    <mergeCell ref="A6:B6"/>
    <mergeCell ref="C6:D6"/>
    <mergeCell ref="E6:F6"/>
    <mergeCell ref="G6:H6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844"/>
  </sheetPr>
  <dimension ref="A1:F15"/>
  <sheetViews>
    <sheetView zoomScaleNormal="100" workbookViewId="0">
      <pane ySplit="2" topLeftCell="A3" activePane="bottomLeft" state="frozen"/>
      <selection pane="bottomLeft" sqref="A1:F1"/>
    </sheetView>
  </sheetViews>
  <sheetFormatPr defaultColWidth="8.7109375" defaultRowHeight="15" x14ac:dyDescent="0.25"/>
  <cols>
    <col min="1" max="1" width="14" customWidth="1"/>
    <col min="2" max="2" width="8" customWidth="1"/>
    <col min="3" max="4" width="14" customWidth="1"/>
    <col min="5" max="5" width="18" customWidth="1"/>
    <col min="6" max="6" width="14" customWidth="1"/>
  </cols>
  <sheetData>
    <row r="1" spans="1:6" ht="31.5" customHeight="1" x14ac:dyDescent="0.25">
      <c r="A1" s="3" t="s">
        <v>33</v>
      </c>
      <c r="B1" s="3"/>
      <c r="C1" s="3"/>
      <c r="D1" s="3"/>
      <c r="E1" s="3"/>
      <c r="F1" s="3"/>
    </row>
    <row r="2" spans="1:6" ht="15" customHeight="1" x14ac:dyDescent="0.25">
      <c r="A2" s="12" t="s">
        <v>34</v>
      </c>
      <c r="B2" s="12" t="s">
        <v>35</v>
      </c>
      <c r="C2" s="12" t="s">
        <v>4</v>
      </c>
      <c r="D2" s="12" t="s">
        <v>21</v>
      </c>
      <c r="E2" s="12" t="s">
        <v>36</v>
      </c>
      <c r="F2" s="12" t="s">
        <v>23</v>
      </c>
    </row>
    <row r="3" spans="1:6" ht="15" customHeight="1" x14ac:dyDescent="0.25">
      <c r="A3" s="18" t="s">
        <v>37</v>
      </c>
      <c r="B3" s="27">
        <v>1</v>
      </c>
      <c r="C3" s="19">
        <v>201</v>
      </c>
      <c r="D3" s="20">
        <v>6398.86</v>
      </c>
      <c r="E3" s="20">
        <f t="shared" ref="E3:E15" si="0">D3/C3</f>
        <v>31.835124378109452</v>
      </c>
      <c r="F3" s="21">
        <f>D3/SUM(D3:D14)</f>
        <v>5.7007679055157447E-2</v>
      </c>
    </row>
    <row r="4" spans="1:6" ht="15" customHeight="1" x14ac:dyDescent="0.25">
      <c r="A4" s="13" t="s">
        <v>38</v>
      </c>
      <c r="B4" s="28">
        <v>2</v>
      </c>
      <c r="C4" s="14">
        <v>423</v>
      </c>
      <c r="D4" s="15">
        <v>13215.48</v>
      </c>
      <c r="E4" s="15">
        <f t="shared" si="0"/>
        <v>31.242269503546098</v>
      </c>
      <c r="F4" s="16">
        <f>D4/SUM(D3:D14)</f>
        <v>0.11773719731324832</v>
      </c>
    </row>
    <row r="5" spans="1:6" ht="15" customHeight="1" x14ac:dyDescent="0.25">
      <c r="A5" s="18" t="s">
        <v>39</v>
      </c>
      <c r="B5" s="27">
        <v>3</v>
      </c>
      <c r="C5" s="19">
        <v>494</v>
      </c>
      <c r="D5" s="20">
        <v>15891.64</v>
      </c>
      <c r="E5" s="20">
        <f t="shared" si="0"/>
        <v>32.169311740890684</v>
      </c>
      <c r="F5" s="21">
        <f>D5/SUM(D3:D14)</f>
        <v>0.1415792051678115</v>
      </c>
    </row>
    <row r="6" spans="1:6" ht="15" customHeight="1" x14ac:dyDescent="0.25">
      <c r="A6" s="13" t="s">
        <v>40</v>
      </c>
      <c r="B6" s="28">
        <v>4</v>
      </c>
      <c r="C6" s="14">
        <v>168</v>
      </c>
      <c r="D6" s="15">
        <v>5719.56</v>
      </c>
      <c r="E6" s="15">
        <f t="shared" si="0"/>
        <v>34.045000000000002</v>
      </c>
      <c r="F6" s="16">
        <f>D6/SUM(D3:D14)</f>
        <v>5.0955770374209841E-2</v>
      </c>
    </row>
    <row r="7" spans="1:6" ht="15" customHeight="1" x14ac:dyDescent="0.25">
      <c r="A7" s="18" t="s">
        <v>41</v>
      </c>
      <c r="B7" s="27">
        <v>5</v>
      </c>
      <c r="C7" s="19">
        <v>241</v>
      </c>
      <c r="D7" s="20">
        <v>8164.42</v>
      </c>
      <c r="E7" s="20">
        <f t="shared" si="0"/>
        <v>33.877261410788385</v>
      </c>
      <c r="F7" s="21">
        <f>D7/SUM(D3:D14)</f>
        <v>7.2737118022821026E-2</v>
      </c>
    </row>
    <row r="8" spans="1:6" ht="15" customHeight="1" x14ac:dyDescent="0.25">
      <c r="A8" s="13" t="s">
        <v>42</v>
      </c>
      <c r="B8" s="28">
        <v>6</v>
      </c>
      <c r="C8" s="14">
        <v>223</v>
      </c>
      <c r="D8" s="15">
        <v>7617.76</v>
      </c>
      <c r="E8" s="15">
        <f t="shared" si="0"/>
        <v>34.160358744394621</v>
      </c>
      <c r="F8" s="16">
        <f>D8/SUM(D3:D14)</f>
        <v>6.786690397964891E-2</v>
      </c>
    </row>
    <row r="9" spans="1:6" ht="15" customHeight="1" x14ac:dyDescent="0.25">
      <c r="A9" s="18" t="s">
        <v>43</v>
      </c>
      <c r="B9" s="27">
        <v>7</v>
      </c>
      <c r="C9" s="19">
        <v>237</v>
      </c>
      <c r="D9" s="20">
        <v>6915.94</v>
      </c>
      <c r="E9" s="20">
        <f t="shared" si="0"/>
        <v>29.181181434599154</v>
      </c>
      <c r="F9" s="21">
        <f>D9/SUM(D3:D14)</f>
        <v>6.1614363790538564E-2</v>
      </c>
    </row>
    <row r="10" spans="1:6" ht="15" customHeight="1" x14ac:dyDescent="0.25">
      <c r="A10" s="13" t="s">
        <v>44</v>
      </c>
      <c r="B10" s="28">
        <v>8</v>
      </c>
      <c r="C10" s="14">
        <v>272</v>
      </c>
      <c r="D10" s="15">
        <v>7613.84</v>
      </c>
      <c r="E10" s="15">
        <f t="shared" si="0"/>
        <v>27.992058823529412</v>
      </c>
      <c r="F10" s="16">
        <f>D10/SUM(D3:D14)</f>
        <v>6.7831980555492694E-2</v>
      </c>
    </row>
    <row r="11" spans="1:6" ht="15" customHeight="1" x14ac:dyDescent="0.25">
      <c r="A11" s="18" t="s">
        <v>45</v>
      </c>
      <c r="B11" s="27">
        <v>9</v>
      </c>
      <c r="C11" s="19">
        <v>344</v>
      </c>
      <c r="D11" s="20">
        <v>9988.64</v>
      </c>
      <c r="E11" s="20">
        <f t="shared" si="0"/>
        <v>29.036744186046509</v>
      </c>
      <c r="F11" s="21">
        <f>D11/SUM(D3:D14)</f>
        <v>8.8989161087679347E-2</v>
      </c>
    </row>
    <row r="12" spans="1:6" ht="15" customHeight="1" x14ac:dyDescent="0.25">
      <c r="A12" s="13" t="s">
        <v>46</v>
      </c>
      <c r="B12" s="28">
        <v>10</v>
      </c>
      <c r="C12" s="14">
        <v>426</v>
      </c>
      <c r="D12" s="15">
        <v>13891.16</v>
      </c>
      <c r="E12" s="15">
        <f t="shared" si="0"/>
        <v>32.60835680751174</v>
      </c>
      <c r="F12" s="16">
        <f>D12/SUM(D3:D14)</f>
        <v>0.1237568552810721</v>
      </c>
    </row>
    <row r="13" spans="1:6" ht="15" customHeight="1" x14ac:dyDescent="0.25">
      <c r="A13" s="18" t="s">
        <v>47</v>
      </c>
      <c r="B13" s="27">
        <v>11</v>
      </c>
      <c r="C13" s="19">
        <v>259</v>
      </c>
      <c r="D13" s="20">
        <v>8590.5400000000009</v>
      </c>
      <c r="E13" s="20">
        <f t="shared" si="0"/>
        <v>33.168108108108115</v>
      </c>
      <c r="F13" s="21">
        <f>D13/SUM(D3:D14)</f>
        <v>7.6533436773189648E-2</v>
      </c>
    </row>
    <row r="14" spans="1:6" ht="15" customHeight="1" x14ac:dyDescent="0.25">
      <c r="A14" s="13" t="s">
        <v>48</v>
      </c>
      <c r="B14" s="28">
        <v>12</v>
      </c>
      <c r="C14" s="14">
        <v>259</v>
      </c>
      <c r="D14" s="15">
        <v>8237.74</v>
      </c>
      <c r="E14" s="15">
        <f t="shared" si="0"/>
        <v>31.805945945945947</v>
      </c>
      <c r="F14" s="16">
        <f>D14/SUM(D3:D14)</f>
        <v>7.3390328599130583E-2</v>
      </c>
    </row>
    <row r="15" spans="1:6" ht="25.5" customHeight="1" x14ac:dyDescent="0.25">
      <c r="A15" s="29" t="s">
        <v>49</v>
      </c>
      <c r="B15" s="29"/>
      <c r="C15" s="30">
        <f>SUM(C3:C14)</f>
        <v>3547</v>
      </c>
      <c r="D15" s="31">
        <f>SUM(D3:D14)</f>
        <v>112245.58</v>
      </c>
      <c r="E15" s="31">
        <f t="shared" si="0"/>
        <v>31.645215675218495</v>
      </c>
      <c r="F15" s="32">
        <f>SUM(F3:F14)</f>
        <v>1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4A017"/>
  </sheetPr>
  <dimension ref="A1:G11"/>
  <sheetViews>
    <sheetView zoomScaleNormal="100" workbookViewId="0">
      <pane ySplit="2" topLeftCell="A3" activePane="bottomLeft" state="frozen"/>
      <selection pane="bottomLeft" sqref="A1:G1"/>
    </sheetView>
  </sheetViews>
  <sheetFormatPr defaultColWidth="8.7109375" defaultRowHeight="15" x14ac:dyDescent="0.25"/>
  <cols>
    <col min="1" max="1" width="24" customWidth="1"/>
    <col min="2" max="3" width="14" customWidth="1"/>
    <col min="4" max="4" width="16" customWidth="1"/>
    <col min="5" max="5" width="14" customWidth="1"/>
    <col min="6" max="6" width="16" customWidth="1"/>
    <col min="7" max="7" width="10" customWidth="1"/>
  </cols>
  <sheetData>
    <row r="1" spans="1:7" ht="31.5" customHeight="1" x14ac:dyDescent="0.25">
      <c r="A1" s="3" t="s">
        <v>50</v>
      </c>
      <c r="B1" s="3"/>
      <c r="C1" s="3"/>
      <c r="D1" s="3"/>
      <c r="E1" s="3"/>
      <c r="F1" s="3"/>
      <c r="G1" s="3"/>
    </row>
    <row r="2" spans="1:7" ht="15" customHeight="1" x14ac:dyDescent="0.25">
      <c r="A2" s="33" t="s">
        <v>19</v>
      </c>
      <c r="B2" s="33" t="s">
        <v>4</v>
      </c>
      <c r="C2" s="33" t="s">
        <v>21</v>
      </c>
      <c r="D2" s="33" t="s">
        <v>22</v>
      </c>
      <c r="E2" s="33" t="s">
        <v>23</v>
      </c>
      <c r="F2" s="33" t="s">
        <v>51</v>
      </c>
      <c r="G2" s="33" t="s">
        <v>52</v>
      </c>
    </row>
    <row r="3" spans="1:7" ht="15" customHeight="1" x14ac:dyDescent="0.25">
      <c r="A3" s="34" t="s">
        <v>7</v>
      </c>
      <c r="B3" s="35">
        <v>757</v>
      </c>
      <c r="C3" s="36">
        <v>26875.3</v>
      </c>
      <c r="D3" s="36">
        <f t="shared" ref="D3:D10" si="0">C3/B3</f>
        <v>35.502377807133421</v>
      </c>
      <c r="E3" s="37">
        <f>C3/SUM(C3:C10)</f>
        <v>0.23943303602689744</v>
      </c>
      <c r="F3" s="37">
        <f>B3/SUM(B3:B10)</f>
        <v>0.21341979137299125</v>
      </c>
      <c r="G3" s="38">
        <f>RANK(C3,C3:C10,0)</f>
        <v>1</v>
      </c>
    </row>
    <row r="4" spans="1:7" ht="15" customHeight="1" x14ac:dyDescent="0.25">
      <c r="A4" s="18" t="s">
        <v>25</v>
      </c>
      <c r="B4" s="19">
        <v>809</v>
      </c>
      <c r="C4" s="20">
        <v>24751.119999999999</v>
      </c>
      <c r="D4" s="20">
        <f t="shared" si="0"/>
        <v>30.594709517923359</v>
      </c>
      <c r="E4" s="21">
        <f>C4/SUM(C3:C10)</f>
        <v>0.22050863829114695</v>
      </c>
      <c r="F4" s="21">
        <f>B4/SUM(B3:B10)</f>
        <v>0.22808006766281363</v>
      </c>
      <c r="G4" s="27">
        <f>RANK(C4,C3:C10,0)</f>
        <v>2</v>
      </c>
    </row>
    <row r="5" spans="1:7" ht="15" customHeight="1" x14ac:dyDescent="0.25">
      <c r="A5" s="13" t="s">
        <v>26</v>
      </c>
      <c r="B5" s="14">
        <v>486</v>
      </c>
      <c r="C5" s="15">
        <v>17439.14</v>
      </c>
      <c r="D5" s="15">
        <f t="shared" si="0"/>
        <v>35.883004115226335</v>
      </c>
      <c r="E5" s="16">
        <f>C5/SUM(C3:C10)</f>
        <v>0.15536593957641806</v>
      </c>
      <c r="F5" s="16">
        <f>B5/SUM(B3:B10)</f>
        <v>0.13701719763180153</v>
      </c>
      <c r="G5" s="28">
        <f>RANK(C5,C3:C10,0)</f>
        <v>3</v>
      </c>
    </row>
    <row r="6" spans="1:7" ht="15" customHeight="1" x14ac:dyDescent="0.25">
      <c r="A6" s="18" t="s">
        <v>27</v>
      </c>
      <c r="B6" s="19">
        <v>564</v>
      </c>
      <c r="C6" s="20">
        <v>14650.26</v>
      </c>
      <c r="D6" s="20">
        <f t="shared" si="0"/>
        <v>25.97563829787234</v>
      </c>
      <c r="E6" s="21">
        <f>C6/SUM(C3:C10)</f>
        <v>0.1305197050966283</v>
      </c>
      <c r="F6" s="21">
        <f>B6/SUM(B3:B10)</f>
        <v>0.1590076120665351</v>
      </c>
      <c r="G6" s="27">
        <f>RANK(C6,C3:C10,0)</f>
        <v>4</v>
      </c>
    </row>
    <row r="7" spans="1:7" ht="15" customHeight="1" x14ac:dyDescent="0.25">
      <c r="A7" s="13" t="s">
        <v>28</v>
      </c>
      <c r="B7" s="14">
        <v>276</v>
      </c>
      <c r="C7" s="15">
        <v>9933.4599999999991</v>
      </c>
      <c r="D7" s="15">
        <f t="shared" si="0"/>
        <v>35.990797101449274</v>
      </c>
      <c r="E7" s="16">
        <f>C7/SUM(C3:C10)</f>
        <v>8.8497560438460021E-2</v>
      </c>
      <c r="F7" s="16">
        <f>B7/SUM(B3:B10)</f>
        <v>7.7812235692134205E-2</v>
      </c>
      <c r="G7" s="28">
        <f>RANK(C7,C3:C10,0)</f>
        <v>5</v>
      </c>
    </row>
    <row r="8" spans="1:7" ht="15" customHeight="1" x14ac:dyDescent="0.25">
      <c r="A8" s="18" t="s">
        <v>29</v>
      </c>
      <c r="B8" s="19">
        <v>239</v>
      </c>
      <c r="C8" s="20">
        <v>8521.16</v>
      </c>
      <c r="D8" s="20">
        <f t="shared" si="0"/>
        <v>35.653389121338911</v>
      </c>
      <c r="E8" s="21">
        <f>C8/SUM(C3:C10)</f>
        <v>7.5915327801771793E-2</v>
      </c>
      <c r="F8" s="21">
        <f>B8/SUM(B3:B10)</f>
        <v>6.7380885255145198E-2</v>
      </c>
      <c r="G8" s="27">
        <f>RANK(C8,C3:C10,0)</f>
        <v>6</v>
      </c>
    </row>
    <row r="9" spans="1:7" ht="15" customHeight="1" x14ac:dyDescent="0.25">
      <c r="A9" s="13" t="s">
        <v>30</v>
      </c>
      <c r="B9" s="14">
        <v>287</v>
      </c>
      <c r="C9" s="15">
        <v>7384.86</v>
      </c>
      <c r="D9" s="15">
        <f t="shared" si="0"/>
        <v>25.731219512195121</v>
      </c>
      <c r="E9" s="16">
        <f>C9/SUM(C3:C10)</f>
        <v>6.5791989314857649E-2</v>
      </c>
      <c r="F9" s="16">
        <f>B9/SUM(B3:B10)</f>
        <v>8.0913447984212017E-2</v>
      </c>
      <c r="G9" s="28">
        <f>RANK(C9,C3:C10,0)</f>
        <v>7</v>
      </c>
    </row>
    <row r="10" spans="1:7" ht="15" customHeight="1" x14ac:dyDescent="0.25">
      <c r="A10" s="18" t="s">
        <v>31</v>
      </c>
      <c r="B10" s="19">
        <v>129</v>
      </c>
      <c r="C10" s="20">
        <v>2690.28</v>
      </c>
      <c r="D10" s="20">
        <f t="shared" si="0"/>
        <v>20.854883720930236</v>
      </c>
      <c r="E10" s="21">
        <f>C10/SUM(C3:C10)</f>
        <v>2.3967803453819742E-2</v>
      </c>
      <c r="F10" s="21">
        <f>B10/SUM(B3:B10)</f>
        <v>3.6368762334367068E-2</v>
      </c>
      <c r="G10" s="27">
        <f>RANK(C10,C3:C10,0)</f>
        <v>8</v>
      </c>
    </row>
    <row r="11" spans="1:7" ht="15" customHeight="1" x14ac:dyDescent="0.25">
      <c r="A11" s="29" t="s">
        <v>32</v>
      </c>
      <c r="B11" s="30">
        <f>SUM(B3:B10)</f>
        <v>3547</v>
      </c>
      <c r="C11" s="31">
        <f>SUM(C3:C10)</f>
        <v>112245.58</v>
      </c>
      <c r="D11" s="39"/>
      <c r="E11" s="39"/>
      <c r="F11" s="39"/>
      <c r="G11" s="39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86AB"/>
  </sheetPr>
  <dimension ref="A1:I20"/>
  <sheetViews>
    <sheetView zoomScaleNormal="100" workbookViewId="0">
      <pane ySplit="3" topLeftCell="A4" activePane="bottomLeft" state="frozen"/>
      <selection pane="bottomLeft" sqref="A1:G1"/>
    </sheetView>
  </sheetViews>
  <sheetFormatPr defaultColWidth="8.7109375" defaultRowHeight="15" x14ac:dyDescent="0.25"/>
  <cols>
    <col min="1" max="1" width="16" customWidth="1"/>
    <col min="2" max="2" width="12" customWidth="1"/>
    <col min="3" max="3" width="14" customWidth="1"/>
    <col min="4" max="4" width="18" customWidth="1"/>
    <col min="5" max="5" width="4" customWidth="1"/>
    <col min="6" max="6" width="10" customWidth="1"/>
    <col min="7" max="7" width="12" customWidth="1"/>
    <col min="8" max="8" width="14" customWidth="1"/>
    <col min="9" max="9" width="10" customWidth="1"/>
  </cols>
  <sheetData>
    <row r="1" spans="1:9" ht="31.5" customHeight="1" x14ac:dyDescent="0.25">
      <c r="A1" s="3" t="s">
        <v>53</v>
      </c>
      <c r="B1" s="3"/>
      <c r="C1" s="3"/>
      <c r="D1" s="3"/>
      <c r="E1" s="3"/>
      <c r="F1" s="3"/>
      <c r="G1" s="3"/>
    </row>
    <row r="2" spans="1:9" ht="15" customHeight="1" x14ac:dyDescent="0.25">
      <c r="A2" s="2" t="s">
        <v>54</v>
      </c>
      <c r="B2" s="2"/>
      <c r="C2" s="2"/>
      <c r="D2" s="2"/>
      <c r="F2" s="1" t="s">
        <v>55</v>
      </c>
      <c r="G2" s="1"/>
      <c r="H2" s="1"/>
      <c r="I2" s="1"/>
    </row>
    <row r="3" spans="1:9" ht="15" customHeight="1" x14ac:dyDescent="0.25">
      <c r="A3" s="12" t="s">
        <v>56</v>
      </c>
      <c r="B3" s="12" t="s">
        <v>4</v>
      </c>
      <c r="C3" s="12" t="s">
        <v>21</v>
      </c>
      <c r="D3" s="12" t="s">
        <v>57</v>
      </c>
      <c r="F3" s="40" t="s">
        <v>58</v>
      </c>
      <c r="G3" s="40" t="s">
        <v>4</v>
      </c>
      <c r="H3" s="40" t="s">
        <v>21</v>
      </c>
      <c r="I3" s="40" t="s">
        <v>59</v>
      </c>
    </row>
    <row r="4" spans="1:9" ht="15" customHeight="1" x14ac:dyDescent="0.25">
      <c r="A4" s="13" t="s">
        <v>60</v>
      </c>
      <c r="B4" s="14">
        <v>544</v>
      </c>
      <c r="C4" s="15">
        <v>17363.099999999999</v>
      </c>
      <c r="D4" s="15">
        <f t="shared" ref="D4:D10" si="0">C4/52</f>
        <v>333.90576923076918</v>
      </c>
      <c r="F4" s="28" t="s">
        <v>61</v>
      </c>
      <c r="G4" s="14">
        <v>5</v>
      </c>
      <c r="H4" s="15">
        <v>149.4</v>
      </c>
      <c r="I4" s="16">
        <f>H4/SUM(H4:H20)</f>
        <v>1.3310100941168461E-3</v>
      </c>
    </row>
    <row r="5" spans="1:9" ht="15" customHeight="1" x14ac:dyDescent="0.25">
      <c r="A5" s="18" t="s">
        <v>62</v>
      </c>
      <c r="B5" s="19">
        <v>572</v>
      </c>
      <c r="C5" s="20">
        <v>18168.38</v>
      </c>
      <c r="D5" s="20">
        <f t="shared" si="0"/>
        <v>349.39192307692309</v>
      </c>
      <c r="F5" s="27" t="s">
        <v>63</v>
      </c>
      <c r="G5" s="19">
        <v>88</v>
      </c>
      <c r="H5" s="20">
        <v>2846.02</v>
      </c>
      <c r="I5" s="21">
        <f>H5/SUM(H4:H20)</f>
        <v>2.5355296841087192E-2</v>
      </c>
    </row>
    <row r="6" spans="1:9" ht="15" customHeight="1" x14ac:dyDescent="0.25">
      <c r="A6" s="13" t="s">
        <v>64</v>
      </c>
      <c r="B6" s="14">
        <v>500</v>
      </c>
      <c r="C6" s="15">
        <v>15750.46</v>
      </c>
      <c r="D6" s="15">
        <f t="shared" si="0"/>
        <v>302.89346153846151</v>
      </c>
      <c r="F6" s="28" t="s">
        <v>65</v>
      </c>
      <c r="G6" s="14">
        <v>235</v>
      </c>
      <c r="H6" s="15">
        <v>7017.88</v>
      </c>
      <c r="I6" s="16">
        <f>H6/SUM(H4:H20)</f>
        <v>6.2522550999335555E-2</v>
      </c>
    </row>
    <row r="7" spans="1:9" ht="15" customHeight="1" x14ac:dyDescent="0.25">
      <c r="A7" s="18" t="s">
        <v>66</v>
      </c>
      <c r="B7" s="19">
        <v>510</v>
      </c>
      <c r="C7" s="20">
        <v>16091.4</v>
      </c>
      <c r="D7" s="20">
        <f t="shared" si="0"/>
        <v>309.45</v>
      </c>
      <c r="F7" s="27" t="s">
        <v>67</v>
      </c>
      <c r="G7" s="19">
        <v>242</v>
      </c>
      <c r="H7" s="20">
        <v>7264.28</v>
      </c>
      <c r="I7" s="21">
        <f>H7/SUM(H4:H20)</f>
        <v>6.4717737660583155E-2</v>
      </c>
    </row>
    <row r="8" spans="1:9" ht="15" customHeight="1" x14ac:dyDescent="0.25">
      <c r="A8" s="13" t="s">
        <v>68</v>
      </c>
      <c r="B8" s="14">
        <v>532</v>
      </c>
      <c r="C8" s="15">
        <v>16802.66</v>
      </c>
      <c r="D8" s="15">
        <f t="shared" si="0"/>
        <v>323.12807692307695</v>
      </c>
      <c r="F8" s="41" t="s">
        <v>15</v>
      </c>
      <c r="G8" s="42">
        <v>328</v>
      </c>
      <c r="H8" s="43">
        <v>10198.52</v>
      </c>
      <c r="I8" s="44">
        <f>H8/SUM(H4:H20)</f>
        <v>9.0858989725920603E-2</v>
      </c>
    </row>
    <row r="9" spans="1:9" ht="15" customHeight="1" x14ac:dyDescent="0.25">
      <c r="A9" s="18" t="s">
        <v>69</v>
      </c>
      <c r="B9" s="19">
        <v>470</v>
      </c>
      <c r="C9" s="20">
        <v>14733.52</v>
      </c>
      <c r="D9" s="20">
        <f t="shared" si="0"/>
        <v>283.33692307692309</v>
      </c>
      <c r="F9" s="27" t="s">
        <v>70</v>
      </c>
      <c r="G9" s="19">
        <v>283</v>
      </c>
      <c r="H9" s="20">
        <v>8453.1</v>
      </c>
      <c r="I9" s="21">
        <f>H9/SUM(H4:H20)</f>
        <v>7.5308978758896333E-2</v>
      </c>
    </row>
    <row r="10" spans="1:9" ht="15" customHeight="1" x14ac:dyDescent="0.25">
      <c r="A10" s="13" t="s">
        <v>71</v>
      </c>
      <c r="B10" s="14">
        <v>419</v>
      </c>
      <c r="C10" s="15">
        <v>13336.06</v>
      </c>
      <c r="D10" s="15">
        <f t="shared" si="0"/>
        <v>256.46269230769229</v>
      </c>
      <c r="F10" s="28" t="s">
        <v>72</v>
      </c>
      <c r="G10" s="14">
        <v>241</v>
      </c>
      <c r="H10" s="15">
        <v>7419.62</v>
      </c>
      <c r="I10" s="16">
        <f>H10/SUM(H4:H20)</f>
        <v>6.610166743314079E-2</v>
      </c>
    </row>
    <row r="11" spans="1:9" ht="15" customHeight="1" x14ac:dyDescent="0.25">
      <c r="A11" s="29" t="s">
        <v>32</v>
      </c>
      <c r="B11" s="30">
        <f>SUM(B4:B10)</f>
        <v>3547</v>
      </c>
      <c r="C11" s="31">
        <f>SUM(C4:C10)</f>
        <v>112245.58</v>
      </c>
      <c r="D11" s="29"/>
      <c r="F11" s="27" t="s">
        <v>73</v>
      </c>
      <c r="G11" s="19">
        <v>225</v>
      </c>
      <c r="H11" s="20">
        <v>7028.76</v>
      </c>
      <c r="I11" s="21">
        <f>H11/SUM(H4:H20)</f>
        <v>6.2619481319442588E-2</v>
      </c>
    </row>
    <row r="12" spans="1:9" ht="15" customHeight="1" x14ac:dyDescent="0.25">
      <c r="F12" s="28" t="s">
        <v>74</v>
      </c>
      <c r="G12" s="14">
        <v>225</v>
      </c>
      <c r="H12" s="15">
        <v>7173.8</v>
      </c>
      <c r="I12" s="16">
        <f>H12/SUM(H4:H20)</f>
        <v>6.3911648013222425E-2</v>
      </c>
    </row>
    <row r="13" spans="1:9" ht="15" customHeight="1" x14ac:dyDescent="0.25">
      <c r="F13" s="27" t="s">
        <v>75</v>
      </c>
      <c r="G13" s="19">
        <v>236</v>
      </c>
      <c r="H13" s="20">
        <v>7476.02</v>
      </c>
      <c r="I13" s="21">
        <f>H13/SUM(H4:H20)</f>
        <v>6.6604137107225056E-2</v>
      </c>
    </row>
    <row r="14" spans="1:9" ht="15" customHeight="1" x14ac:dyDescent="0.25">
      <c r="F14" s="28" t="s">
        <v>76</v>
      </c>
      <c r="G14" s="14">
        <v>278</v>
      </c>
      <c r="H14" s="15">
        <v>9031.84</v>
      </c>
      <c r="I14" s="16">
        <f>H14/SUM(H4:H20)</f>
        <v>8.0464994701795814E-2</v>
      </c>
    </row>
    <row r="15" spans="1:9" ht="15" customHeight="1" x14ac:dyDescent="0.25">
      <c r="F15" s="27" t="s">
        <v>77</v>
      </c>
      <c r="G15" s="19">
        <v>237</v>
      </c>
      <c r="H15" s="20">
        <v>7659.76</v>
      </c>
      <c r="I15" s="21">
        <f>H15/SUM(H4:H20)</f>
        <v>6.8241083524179735E-2</v>
      </c>
    </row>
    <row r="16" spans="1:9" ht="15" customHeight="1" x14ac:dyDescent="0.25">
      <c r="F16" s="28" t="s">
        <v>78</v>
      </c>
      <c r="G16" s="14">
        <v>218</v>
      </c>
      <c r="H16" s="15">
        <v>7162.6</v>
      </c>
      <c r="I16" s="16">
        <f>H16/SUM(H4:H20)</f>
        <v>6.3811866801347539E-2</v>
      </c>
    </row>
    <row r="17" spans="6:9" ht="15" customHeight="1" x14ac:dyDescent="0.25">
      <c r="F17" s="27" t="s">
        <v>79</v>
      </c>
      <c r="G17" s="19">
        <v>229</v>
      </c>
      <c r="H17" s="20">
        <v>7751.96</v>
      </c>
      <c r="I17" s="21">
        <f>H17/SUM(H4:H20)</f>
        <v>6.9062496714792684E-2</v>
      </c>
    </row>
    <row r="18" spans="6:9" ht="15" customHeight="1" x14ac:dyDescent="0.25">
      <c r="F18" s="28" t="s">
        <v>80</v>
      </c>
      <c r="G18" s="14">
        <v>169</v>
      </c>
      <c r="H18" s="15">
        <v>5578.92</v>
      </c>
      <c r="I18" s="16">
        <f>H18/SUM(H4:H20)</f>
        <v>4.9702803442237986E-2</v>
      </c>
    </row>
    <row r="19" spans="6:9" ht="15" customHeight="1" x14ac:dyDescent="0.25">
      <c r="F19" s="27" t="s">
        <v>81</v>
      </c>
      <c r="G19" s="19">
        <v>195</v>
      </c>
      <c r="H19" s="20">
        <v>6397.94</v>
      </c>
      <c r="I19" s="21">
        <f>H19/SUM(H4:H20)</f>
        <v>5.699948274132486E-2</v>
      </c>
    </row>
    <row r="20" spans="6:9" ht="15" customHeight="1" x14ac:dyDescent="0.25">
      <c r="F20" s="28" t="s">
        <v>82</v>
      </c>
      <c r="G20" s="14">
        <v>113</v>
      </c>
      <c r="H20" s="15">
        <v>3635.16</v>
      </c>
      <c r="I20" s="16">
        <f>H20/SUM(H4:H20)</f>
        <v>3.2385774121350699E-2</v>
      </c>
    </row>
  </sheetData>
  <mergeCells count="3">
    <mergeCell ref="A1:G1"/>
    <mergeCell ref="A2:D2"/>
    <mergeCell ref="F2:I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📊 Tableau de Bord</vt:lpstr>
      <vt:lpstr>Ventes_Mensuelles</vt:lpstr>
      <vt:lpstr>Analyse_Produits</vt:lpstr>
      <vt:lpstr>Analyse_Temporelle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deyya elmouini</cp:lastModifiedBy>
  <cp:revision>1</cp:revision>
  <dcterms:created xsi:type="dcterms:W3CDTF">2026-03-28T23:15:26Z</dcterms:created>
  <dcterms:modified xsi:type="dcterms:W3CDTF">2026-03-28T23:22:38Z</dcterms:modified>
  <dc:language>en-US</dc:language>
</cp:coreProperties>
</file>