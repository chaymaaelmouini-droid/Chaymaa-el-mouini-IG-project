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040" tabRatio="500"/>
  </bookViews>
  <sheets>
    <sheet name="📊 Tableau de Bord" sheetId="1" r:id="rId1"/>
    <sheet name="Ventes_Mensuelles" sheetId="2" r:id="rId2"/>
    <sheet name="Analyse_Produits" sheetId="3" r:id="rId3"/>
    <sheet name="Analyse_Temporelle" sheetId="4" r:id="rId4"/>
  </sheets>
  <definedNames>
    <definedName name="_xlnm._FilterDatabase" localSheetId="1" hidden="1">Ventes_Mensuelles!$F$3:$K$3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4" i="4" l="1"/>
  <c r="E33" i="4"/>
  <c r="E32" i="4"/>
  <c r="E31" i="4"/>
  <c r="E30" i="4"/>
  <c r="E29" i="4"/>
  <c r="E28" i="4"/>
  <c r="E27" i="4"/>
  <c r="E26" i="4"/>
  <c r="E25" i="4"/>
  <c r="D12" i="4"/>
  <c r="C12" i="4"/>
  <c r="E24" i="4"/>
  <c r="E11" i="4"/>
  <c r="E23" i="4"/>
  <c r="E10" i="4"/>
  <c r="E22" i="4"/>
  <c r="E9" i="4"/>
  <c r="E21" i="4"/>
  <c r="E8" i="4"/>
  <c r="E20" i="4"/>
  <c r="E7" i="4"/>
  <c r="E19" i="4"/>
  <c r="E6" i="4"/>
  <c r="E18" i="4"/>
  <c r="E5" i="4"/>
  <c r="C12" i="3"/>
  <c r="B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  <c r="I16" i="2"/>
  <c r="H16" i="2"/>
  <c r="D7" i="1" s="1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D32" i="1"/>
  <c r="C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B7" i="1"/>
  <c r="K16" i="2" l="1"/>
  <c r="J16" i="2"/>
  <c r="F7" i="1" s="1"/>
</calcChain>
</file>

<file path=xl/sharedStrings.xml><?xml version="1.0" encoding="utf-8"?>
<sst xmlns="http://schemas.openxmlformats.org/spreadsheetml/2006/main" count="107" uniqueCount="83">
  <si>
    <t>☕  COFFEE SALES — TABLEAU DE BORD</t>
  </si>
  <si>
    <t>ENCG Settat — Université Hassan 1er  |  Performance Commerciale 2024–2025</t>
  </si>
  <si>
    <t>INDICATEURS CLÉS DE PERFORMANCE</t>
  </si>
  <si>
    <t>CA Total</t>
  </si>
  <si>
    <t>Transactions</t>
  </si>
  <si>
    <t>Panier Moyen</t>
  </si>
  <si>
    <t>Top Produit</t>
  </si>
  <si>
    <t>Latte</t>
  </si>
  <si>
    <t>Revenu total mars 2024 → mars 2025</t>
  </si>
  <si>
    <t>Nombre total de commandes</t>
  </si>
  <si>
    <t>CA Total / Transactions</t>
  </si>
  <si>
    <t>Produit le plus rentable</t>
  </si>
  <si>
    <t>Meilleur Mois</t>
  </si>
  <si>
    <t>Pic Horaire</t>
  </si>
  <si>
    <t>Mars</t>
  </si>
  <si>
    <t>10h00</t>
  </si>
  <si>
    <t>15 892 € · 494 transactions</t>
  </si>
  <si>
    <t>Heure de pointe des ventes</t>
  </si>
  <si>
    <t>SYNTHÈSE PAR PRODUIT</t>
  </si>
  <si>
    <t>Produit</t>
  </si>
  <si>
    <t>Ventes</t>
  </si>
  <si>
    <t>CA (€)</t>
  </si>
  <si>
    <t>Prix Moy. (€)</t>
  </si>
  <si>
    <t>Part CA (%)</t>
  </si>
  <si>
    <t>Rang</t>
  </si>
  <si>
    <t>Americano with Milk</t>
  </si>
  <si>
    <t>Cappuccino</t>
  </si>
  <si>
    <t>Americano</t>
  </si>
  <si>
    <t>Hot Chocolate</t>
  </si>
  <si>
    <t>Cocoa</t>
  </si>
  <si>
    <t>Cortado</t>
  </si>
  <si>
    <t>Espresso</t>
  </si>
  <si>
    <t>TOTAL</t>
  </si>
  <si>
    <t>VENTES MENSUELLES — ÉVOLUTION 2024–2025</t>
  </si>
  <si>
    <t>Mois</t>
  </si>
  <si>
    <t>Ordre</t>
  </si>
  <si>
    <t>Panier Moyen (€)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</si>
  <si>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</si>
  <si>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</si>
  <si>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</si>
  <si>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</si>
  <si>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</si>
  <si>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</si>
  <si>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</si>
  <si>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</si>
  <si>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</si>
  <si>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</si>
  <si>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</si>
  <si>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</si>
  <si>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ANNUEL</t>
  </si>
  <si>
    <t>ANALYSE PAR PRODUIT — PERFORMANCE &amp; RENTABILITÉ</t>
  </si>
  <si>
    <t>Part Ventes (%)</t>
  </si>
  <si>
    <t>Rang CA</t>
  </si>
  <si>
    <t>ANALYSE TEMPORELLE — JOURS &amp; HEURES</t>
  </si>
  <si>
    <t>PAR JOUR DE LA SEMAINE</t>
  </si>
  <si>
    <t>PAR TRANCHE HORAIRE</t>
  </si>
  <si>
    <t>Jour</t>
  </si>
  <si>
    <t>CA Moy. / Semaine (€)</t>
  </si>
  <si>
    <t>Heure</t>
  </si>
  <si>
    <t>% CA</t>
  </si>
  <si>
    <t>Lundi</t>
  </si>
  <si>
    <t>6h00</t>
  </si>
  <si>
    <t>Mardi</t>
  </si>
  <si>
    <t>7h00</t>
  </si>
  <si>
    <t>Mercredi</t>
  </si>
  <si>
    <t>8h00</t>
  </si>
  <si>
    <t>Jeudi</t>
  </si>
  <si>
    <t>9h00</t>
  </si>
  <si>
    <t>Vendredi</t>
  </si>
  <si>
    <t>Samedi</t>
  </si>
  <si>
    <t>11h00</t>
  </si>
  <si>
    <t>Dimanche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</si>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</sst>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&quot; €&quot;"/>
    <numFmt numFmtId="165" formatCode="0.0%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006633"/>
      <name val="Arial"/>
      <charset val="1"/>
    </font>
    <font>
      <b/>
      <sz val="9"/>
      <color rgb="FFFFFFFF"/>
      <name val="Arial"/>
      <charset val="1"/>
    </font>
    <font>
      <b/>
      <sz val="18"/>
      <color rgb="FF006633"/>
      <name val="Arial"/>
      <charset val="1"/>
    </font>
    <font>
      <i/>
      <sz val="8"/>
      <color rgb="FF5A7A6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D4A017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1A1A1A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06633"/>
        <bgColor rgb="FF004D26"/>
      </patternFill>
    </fill>
    <fill>
      <patternFill patternType="solid">
        <fgColor rgb="FF004D26"/>
        <bgColor rgb="FF006633"/>
      </patternFill>
    </fill>
    <fill>
      <patternFill patternType="solid">
        <fgColor rgb="FFE8F5EE"/>
        <bgColor rgb="FFF5F5F5"/>
      </patternFill>
    </fill>
    <fill>
      <patternFill patternType="solid">
        <fgColor rgb="FF008844"/>
        <bgColor rgb="FF006633"/>
      </patternFill>
    </fill>
    <fill>
      <patternFill patternType="solid">
        <fgColor rgb="FFF5F5F5"/>
        <bgColor rgb="FFE8F5EE"/>
      </patternFill>
    </fill>
    <fill>
      <patternFill patternType="solid">
        <fgColor rgb="FFFFF8E1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D4A017"/>
        <bgColor rgb="FFE8A020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6633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7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3" fontId="8" fillId="6" borderId="2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3" fontId="8" fillId="8" borderId="2" xfId="0" applyNumberFormat="1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  <xf numFmtId="165" fontId="8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/>
    </xf>
    <xf numFmtId="3" fontId="14" fillId="4" borderId="2" xfId="0" applyNumberFormat="1" applyFont="1" applyFill="1" applyBorder="1" applyAlignment="1">
      <alignment horizontal="center" vertical="center"/>
    </xf>
    <xf numFmtId="164" fontId="14" fillId="4" borderId="2" xfId="0" applyNumberFormat="1" applyFont="1" applyFill="1" applyBorder="1" applyAlignment="1">
      <alignment horizontal="center" vertical="center"/>
    </xf>
    <xf numFmtId="165" fontId="14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13" fillId="9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3" fontId="8" fillId="7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/>
    <xf numFmtId="0" fontId="12" fillId="2" borderId="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D4A017"/>
      <rgbColor rgb="FF800080"/>
      <rgbColor rgb="FF008844"/>
      <rgbColor rgb="FFB3B3B3"/>
      <rgbColor rgb="FF5A7A65"/>
      <rgbColor rgb="FF9999FF"/>
      <rgbColor rgb="FFA23B72"/>
      <rgbColor rgb="FFFFF8E1"/>
      <rgbColor rgb="FFE8F5EE"/>
      <rgbColor rgb="FF660066"/>
      <rgbColor rgb="FFE8A020"/>
      <rgbColor rgb="FF1A6090"/>
      <rgbColor rgb="FFD0D0D0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AA55"/>
      <rgbColor rgb="FFF5F5F5"/>
      <rgbColor rgb="FFD9D9D9"/>
      <rgbColor rgb="FFFFFF99"/>
      <rgbColor rgb="FF99CCFF"/>
      <rgbColor rgb="FFFF99CC"/>
      <rgbColor rgb="FFCC99FF"/>
      <rgbColor rgb="FFFFCC99"/>
      <rgbColor rgb="FF3366FF"/>
      <rgbColor rgb="FF33BB77"/>
      <rgbColor rgb="FFC8D450"/>
      <rgbColor rgb="FFF0B040"/>
      <rgbColor rgb="FFF18F01"/>
      <rgbColor rgb="FFE84855"/>
      <rgbColor rgb="FF4F81BD"/>
      <rgbColor rgb="FF969696"/>
      <rgbColor rgb="FF003366"/>
      <rgbColor rgb="FF3BB273"/>
      <rgbColor rgb="FF004D26"/>
      <rgbColor rgb="FF333300"/>
      <rgbColor rgb="FFC73E1D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 par Produit (€)</a:t>
            </a:r>
          </a:p>
        </c:rich>
      </c:tx>
      <c:layout>
        <c:manualLayout>
          <c:xMode val="edge"/>
          <c:yMode val="edge"/>
          <c:x val="0.36757098122682308"/>
          <c:y val="1.6283564818524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Analyse_Produits!$C$3</c:f>
              <c:strCache>
                <c:ptCount val="1"/>
                <c:pt idx="0">
                  <c:v>CA (€)</c:v>
                </c:pt>
              </c:strCache>
            </c:strRef>
          </c:tx>
          <c:spPr>
            <a:solidFill>
              <a:srgbClr val="00663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Analyse_Produits!$A$4:$A$11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Analyse_Produits!$C$4:$C$11</c:f>
              <c:numCache>
                <c:formatCode>#,##0.00" €"</c:formatCode>
                <c:ptCount val="8"/>
                <c:pt idx="0">
                  <c:v>26875.3</c:v>
                </c:pt>
                <c:pt idx="1">
                  <c:v>24751.119999999999</c:v>
                </c:pt>
                <c:pt idx="2">
                  <c:v>17439.14</c:v>
                </c:pt>
                <c:pt idx="3">
                  <c:v>14650.26</c:v>
                </c:pt>
                <c:pt idx="4">
                  <c:v>9933.4599999999991</c:v>
                </c:pt>
                <c:pt idx="5">
                  <c:v>8521.16</c:v>
                </c:pt>
                <c:pt idx="6">
                  <c:v>7384.86</c:v>
                </c:pt>
                <c:pt idx="7">
                  <c:v>2690.28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64-463E-B771-4057F1C36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69952"/>
        <c:axId val="236530496"/>
      </c:barChart>
      <c:catAx>
        <c:axId val="20306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530496"/>
        <c:crosses val="autoZero"/>
        <c:auto val="1"/>
        <c:lblAlgn val="ctr"/>
        <c:lblOffset val="100"/>
        <c:noMultiLvlLbl val="0"/>
      </c:catAx>
      <c:valAx>
        <c:axId val="2365304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&quot; €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069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Répartition Mensuelle du CA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Ventes_Mensuelles!$I$3</c:f>
              <c:strCache>
                <c:ptCount val="1"/>
                <c:pt idx="0">
                  <c:v>CA (€)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006633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37E-430A-A2E5-E87477C9A409}"/>
              </c:ext>
            </c:extLst>
          </c:dPt>
          <c:dPt>
            <c:idx val="1"/>
            <c:bubble3D val="0"/>
            <c:spPr>
              <a:solidFill>
                <a:srgbClr val="008844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37E-430A-A2E5-E87477C9A409}"/>
              </c:ext>
            </c:extLst>
          </c:dPt>
          <c:dPt>
            <c:idx val="2"/>
            <c:bubble3D val="0"/>
            <c:spPr>
              <a:solidFill>
                <a:srgbClr val="00AA55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37E-430A-A2E5-E87477C9A409}"/>
              </c:ext>
            </c:extLst>
          </c:dPt>
          <c:dPt>
            <c:idx val="3"/>
            <c:bubble3D val="0"/>
            <c:spPr>
              <a:solidFill>
                <a:srgbClr val="33BB77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37E-430A-A2E5-E87477C9A409}"/>
              </c:ext>
            </c:extLst>
          </c:dPt>
          <c:dPt>
            <c:idx val="4"/>
            <c:bubble3D val="0"/>
            <c:spPr>
              <a:solidFill>
                <a:srgbClr val="D4A017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37E-430A-A2E5-E87477C9A409}"/>
              </c:ext>
            </c:extLst>
          </c:dPt>
          <c:dPt>
            <c:idx val="5"/>
            <c:bubble3D val="0"/>
            <c:spPr>
              <a:solidFill>
                <a:srgbClr val="E8A020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37E-430A-A2E5-E87477C9A409}"/>
              </c:ext>
            </c:extLst>
          </c:dPt>
          <c:dPt>
            <c:idx val="6"/>
            <c:bubble3D val="0"/>
            <c:spPr>
              <a:solidFill>
                <a:srgbClr val="F0B040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37E-430A-A2E5-E87477C9A409}"/>
              </c:ext>
            </c:extLst>
          </c:dPt>
          <c:dPt>
            <c:idx val="7"/>
            <c:bubble3D val="0"/>
            <c:spPr>
              <a:solidFill>
                <a:srgbClr val="C8D450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37E-430A-A2E5-E87477C9A409}"/>
              </c:ext>
            </c:extLst>
          </c:dPt>
          <c:dPt>
            <c:idx val="8"/>
            <c:bubble3D val="0"/>
            <c:spPr>
              <a:solidFill>
                <a:srgbClr val="2E86AB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37E-430A-A2E5-E87477C9A409}"/>
              </c:ext>
            </c:extLst>
          </c:dPt>
          <c:dPt>
            <c:idx val="9"/>
            <c:bubble3D val="0"/>
            <c:spPr>
              <a:solidFill>
                <a:srgbClr val="1A6090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737E-430A-A2E5-E87477C9A409}"/>
              </c:ext>
            </c:extLst>
          </c:dPt>
          <c:dPt>
            <c:idx val="10"/>
            <c:bubble3D val="0"/>
            <c:spPr>
              <a:solidFill>
                <a:srgbClr val="A23B72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737E-430A-A2E5-E87477C9A409}"/>
              </c:ext>
            </c:extLst>
          </c:dPt>
          <c:dPt>
            <c:idx val="11"/>
            <c:bubble3D val="0"/>
            <c:spPr>
              <a:solidFill>
                <a:srgbClr val="C73E1D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737E-430A-A2E5-E87477C9A409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7E-430A-A2E5-E87477C9A409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7E-430A-A2E5-E87477C9A409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737E-430A-A2E5-E87477C9A409}"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737E-430A-A2E5-E87477C9A409}"/>
                </c:ext>
              </c:extLst>
            </c:dLbl>
            <c:dLbl>
              <c:idx val="4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737E-430A-A2E5-E87477C9A409}"/>
                </c:ext>
              </c:extLst>
            </c:dLbl>
            <c:dLbl>
              <c:idx val="5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737E-430A-A2E5-E87477C9A409}"/>
                </c:ext>
              </c:extLst>
            </c:dLbl>
            <c:dLbl>
              <c:idx val="6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737E-430A-A2E5-E87477C9A409}"/>
                </c:ext>
              </c:extLst>
            </c:dLbl>
            <c:dLbl>
              <c:idx val="7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F-737E-430A-A2E5-E87477C9A409}"/>
                </c:ext>
              </c:extLst>
            </c:dLbl>
            <c:dLbl>
              <c:idx val="8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1-737E-430A-A2E5-E87477C9A409}"/>
                </c:ext>
              </c:extLst>
            </c:dLbl>
            <c:dLbl>
              <c:idx val="9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3-737E-430A-A2E5-E87477C9A409}"/>
                </c:ext>
              </c:extLst>
            </c:dLbl>
            <c:dLbl>
              <c:idx val="1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737E-430A-A2E5-E87477C9A409}"/>
                </c:ext>
              </c:extLst>
            </c:dLbl>
            <c:dLbl>
              <c:idx val="1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7-737E-430A-A2E5-E87477C9A4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Ventes_Mensuelles!$F$4:$F$15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Ventes_Mensuelles!$I$4:$I$15</c:f>
              <c:numCache>
                <c:formatCode>#,##0.00" €"</c:formatCode>
                <c:ptCount val="12"/>
                <c:pt idx="0">
                  <c:v>6398.86</c:v>
                </c:pt>
                <c:pt idx="1">
                  <c:v>13215.48</c:v>
                </c:pt>
                <c:pt idx="2">
                  <c:v>15891.64</c:v>
                </c:pt>
                <c:pt idx="3">
                  <c:v>5719.56</c:v>
                </c:pt>
                <c:pt idx="4">
                  <c:v>8164.42</c:v>
                </c:pt>
                <c:pt idx="5">
                  <c:v>7617.76</c:v>
                </c:pt>
                <c:pt idx="6">
                  <c:v>6915.94</c:v>
                </c:pt>
                <c:pt idx="7">
                  <c:v>7613.84</c:v>
                </c:pt>
                <c:pt idx="8">
                  <c:v>9988.64</c:v>
                </c:pt>
                <c:pt idx="9">
                  <c:v>13891.16</c:v>
                </c:pt>
                <c:pt idx="10">
                  <c:v>8590.5400000000009</c:v>
                </c:pt>
                <c:pt idx="11">
                  <c:v>8237.74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737E-430A-A2E5-E87477C9A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Chiffre d'Affaires Mensuel (€)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Ventes_Mensuelles!$I$3</c:f>
              <c:strCache>
                <c:ptCount val="1"/>
                <c:pt idx="0">
                  <c:v>CA (€)</c:v>
                </c:pt>
              </c:strCache>
            </c:strRef>
          </c:tx>
          <c:spPr>
            <a:solidFill>
              <a:srgbClr val="006633"/>
            </a:solidFill>
            <a:ln w="9360">
              <a:solidFill>
                <a:srgbClr val="006633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Ventes_Mensuelles!$F$4:$F$15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Ventes_Mensuelles!$I$4:$I$15</c:f>
              <c:numCache>
                <c:formatCode>#,##0.00" €"</c:formatCode>
                <c:ptCount val="12"/>
                <c:pt idx="0">
                  <c:v>6398.86</c:v>
                </c:pt>
                <c:pt idx="1">
                  <c:v>13215.48</c:v>
                </c:pt>
                <c:pt idx="2">
                  <c:v>15891.64</c:v>
                </c:pt>
                <c:pt idx="3">
                  <c:v>5719.56</c:v>
                </c:pt>
                <c:pt idx="4">
                  <c:v>8164.42</c:v>
                </c:pt>
                <c:pt idx="5">
                  <c:v>7617.76</c:v>
                </c:pt>
                <c:pt idx="6">
                  <c:v>6915.94</c:v>
                </c:pt>
                <c:pt idx="7">
                  <c:v>7613.84</c:v>
                </c:pt>
                <c:pt idx="8">
                  <c:v>9988.64</c:v>
                </c:pt>
                <c:pt idx="9">
                  <c:v>13891.16</c:v>
                </c:pt>
                <c:pt idx="10">
                  <c:v>8590.5400000000009</c:v>
                </c:pt>
                <c:pt idx="11">
                  <c:v>8237.74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AC-4B1D-AAFB-E42CE8F0A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901312"/>
        <c:axId val="236533376"/>
      </c:barChart>
      <c:catAx>
        <c:axId val="2059013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533376"/>
        <c:crosses val="autoZero"/>
        <c:auto val="1"/>
        <c:lblAlgn val="ctr"/>
        <c:lblOffset val="100"/>
        <c:noMultiLvlLbl val="0"/>
      </c:catAx>
      <c:valAx>
        <c:axId val="2365333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 (€)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59013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Transactions Mensuelles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Ventes_Mensuelles!$H$3</c:f>
              <c:strCache>
                <c:ptCount val="1"/>
                <c:pt idx="0">
                  <c:v>Transactions</c:v>
                </c:pt>
              </c:strCache>
            </c:strRef>
          </c:tx>
          <c:spPr>
            <a:ln w="24840">
              <a:solidFill>
                <a:srgbClr val="D4A017"/>
              </a:solidFill>
              <a:round/>
            </a:ln>
          </c:spPr>
          <c:marker>
            <c:symbol val="circle"/>
            <c:size val="6"/>
            <c:spPr>
              <a:solidFill>
                <a:srgbClr val="D4A01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Ventes_Mensuelles!$F$4:$F$15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Ventes_Mensuelles!$H$4:$H$15</c:f>
              <c:numCache>
                <c:formatCode>#,##0</c:formatCode>
                <c:ptCount val="12"/>
                <c:pt idx="0">
                  <c:v>201</c:v>
                </c:pt>
                <c:pt idx="1">
                  <c:v>423</c:v>
                </c:pt>
                <c:pt idx="2">
                  <c:v>494</c:v>
                </c:pt>
                <c:pt idx="3">
                  <c:v>168</c:v>
                </c:pt>
                <c:pt idx="4">
                  <c:v>241</c:v>
                </c:pt>
                <c:pt idx="5">
                  <c:v>223</c:v>
                </c:pt>
                <c:pt idx="6">
                  <c:v>237</c:v>
                </c:pt>
                <c:pt idx="7">
                  <c:v>272</c:v>
                </c:pt>
                <c:pt idx="8">
                  <c:v>344</c:v>
                </c:pt>
                <c:pt idx="9">
                  <c:v>426</c:v>
                </c:pt>
                <c:pt idx="10">
                  <c:v>259</c:v>
                </c:pt>
                <c:pt idx="11">
                  <c:v>259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65C-4E13-AB49-552BF94BA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3152128"/>
        <c:axId val="236535104"/>
      </c:lineChart>
      <c:catAx>
        <c:axId val="2631521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535104"/>
        <c:crosses val="autoZero"/>
        <c:auto val="1"/>
        <c:lblAlgn val="ctr"/>
        <c:lblOffset val="100"/>
        <c:noMultiLvlLbl val="0"/>
      </c:catAx>
      <c:valAx>
        <c:axId val="2365351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Nombre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1521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 par Produit (€)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Analyse_Produits!$C$3</c:f>
              <c:strCache>
                <c:ptCount val="1"/>
                <c:pt idx="0">
                  <c:v>CA (€)</c:v>
                </c:pt>
              </c:strCache>
            </c:strRef>
          </c:tx>
          <c:spPr>
            <a:solidFill>
              <a:srgbClr val="006633"/>
            </a:solidFill>
            <a:ln w="9360">
              <a:solidFill>
                <a:srgbClr val="006633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Analyse_Produits!$A$4:$A$11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Analyse_Produits!$C$4:$C$11</c:f>
              <c:numCache>
                <c:formatCode>#,##0.00" €"</c:formatCode>
                <c:ptCount val="8"/>
                <c:pt idx="0">
                  <c:v>26875.3</c:v>
                </c:pt>
                <c:pt idx="1">
                  <c:v>24751.119999999999</c:v>
                </c:pt>
                <c:pt idx="2">
                  <c:v>17439.14</c:v>
                </c:pt>
                <c:pt idx="3">
                  <c:v>14650.26</c:v>
                </c:pt>
                <c:pt idx="4">
                  <c:v>9933.4599999999991</c:v>
                </c:pt>
                <c:pt idx="5">
                  <c:v>8521.16</c:v>
                </c:pt>
                <c:pt idx="6">
                  <c:v>7384.86</c:v>
                </c:pt>
                <c:pt idx="7">
                  <c:v>2690.28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04-442B-BF9C-B149F9E24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62144"/>
        <c:axId val="263349376"/>
      </c:barChart>
      <c:catAx>
        <c:axId val="20346214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 (€)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349376"/>
        <c:crosses val="autoZero"/>
        <c:auto val="1"/>
        <c:lblAlgn val="ctr"/>
        <c:lblOffset val="100"/>
        <c:noMultiLvlLbl val="0"/>
      </c:catAx>
      <c:valAx>
        <c:axId val="26334937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Produit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462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Répartition du CA par Produit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Analyse_Produits!$C$3</c:f>
              <c:strCache>
                <c:ptCount val="1"/>
                <c:pt idx="0">
                  <c:v>CA (€)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006633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D7F-412E-8571-67BDA0C8A499}"/>
              </c:ext>
            </c:extLst>
          </c:dPt>
          <c:dPt>
            <c:idx val="1"/>
            <c:bubble3D val="0"/>
            <c:spPr>
              <a:solidFill>
                <a:srgbClr val="D4A017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D7F-412E-8571-67BDA0C8A499}"/>
              </c:ext>
            </c:extLst>
          </c:dPt>
          <c:dPt>
            <c:idx val="2"/>
            <c:bubble3D val="0"/>
            <c:spPr>
              <a:solidFill>
                <a:srgbClr val="2E86AB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D7F-412E-8571-67BDA0C8A499}"/>
              </c:ext>
            </c:extLst>
          </c:dPt>
          <c:dPt>
            <c:idx val="3"/>
            <c:bubble3D val="0"/>
            <c:spPr>
              <a:solidFill>
                <a:srgbClr val="E84855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D7F-412E-8571-67BDA0C8A499}"/>
              </c:ext>
            </c:extLst>
          </c:dPt>
          <c:dPt>
            <c:idx val="4"/>
            <c:bubble3D val="0"/>
            <c:spPr>
              <a:solidFill>
                <a:srgbClr val="3BB273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D7F-412E-8571-67BDA0C8A499}"/>
              </c:ext>
            </c:extLst>
          </c:dPt>
          <c:dPt>
            <c:idx val="5"/>
            <c:bubble3D val="0"/>
            <c:spPr>
              <a:solidFill>
                <a:srgbClr val="F18F01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D7F-412E-8571-67BDA0C8A499}"/>
              </c:ext>
            </c:extLst>
          </c:dPt>
          <c:dPt>
            <c:idx val="6"/>
            <c:bubble3D val="0"/>
            <c:spPr>
              <a:solidFill>
                <a:srgbClr val="A23B72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D7F-412E-8571-67BDA0C8A499}"/>
              </c:ext>
            </c:extLst>
          </c:dPt>
          <c:dPt>
            <c:idx val="7"/>
            <c:bubble3D val="0"/>
            <c:spPr>
              <a:solidFill>
                <a:srgbClr val="C73E1D"/>
              </a:solidFill>
              <a:ln w="0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D7F-412E-8571-67BDA0C8A499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D7F-412E-8571-67BDA0C8A499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D7F-412E-8571-67BDA0C8A499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D7F-412E-8571-67BDA0C8A499}"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D7F-412E-8571-67BDA0C8A499}"/>
                </c:ext>
              </c:extLst>
            </c:dLbl>
            <c:dLbl>
              <c:idx val="4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4D7F-412E-8571-67BDA0C8A499}"/>
                </c:ext>
              </c:extLst>
            </c:dLbl>
            <c:dLbl>
              <c:idx val="5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4D7F-412E-8571-67BDA0C8A499}"/>
                </c:ext>
              </c:extLst>
            </c:dLbl>
            <c:dLbl>
              <c:idx val="6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4D7F-412E-8571-67BDA0C8A499}"/>
                </c:ext>
              </c:extLst>
            </c:dLbl>
            <c:dLbl>
              <c:idx val="7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F-4D7F-412E-8571-67BDA0C8A4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Analyse_Produits!$A$4:$A$11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Analyse_Produits!$C$4:$C$11</c:f>
              <c:numCache>
                <c:formatCode>#,##0.00" €"</c:formatCode>
                <c:ptCount val="8"/>
                <c:pt idx="0">
                  <c:v>26875.3</c:v>
                </c:pt>
                <c:pt idx="1">
                  <c:v>24751.119999999999</c:v>
                </c:pt>
                <c:pt idx="2">
                  <c:v>17439.14</c:v>
                </c:pt>
                <c:pt idx="3">
                  <c:v>14650.26</c:v>
                </c:pt>
                <c:pt idx="4">
                  <c:v>9933.4599999999991</c:v>
                </c:pt>
                <c:pt idx="5">
                  <c:v>8521.16</c:v>
                </c:pt>
                <c:pt idx="6">
                  <c:v>7384.86</c:v>
                </c:pt>
                <c:pt idx="7">
                  <c:v>2690.28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4D7F-412E-8571-67BDA0C8A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Volume Ventes vs CA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Analyse_Produits!$B$3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00663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Analyse_Produits!$A$4:$A$11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Analyse_Produits!$B$4:$B$11</c:f>
              <c:numCache>
                <c:formatCode>#,##0</c:formatCode>
                <c:ptCount val="8"/>
                <c:pt idx="0">
                  <c:v>757</c:v>
                </c:pt>
                <c:pt idx="1">
                  <c:v>809</c:v>
                </c:pt>
                <c:pt idx="2">
                  <c:v>486</c:v>
                </c:pt>
                <c:pt idx="3">
                  <c:v>564</c:v>
                </c:pt>
                <c:pt idx="4">
                  <c:v>276</c:v>
                </c:pt>
                <c:pt idx="5">
                  <c:v>239</c:v>
                </c:pt>
                <c:pt idx="6">
                  <c:v>287</c:v>
                </c:pt>
                <c:pt idx="7">
                  <c:v>129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68-4531-9206-0307132359A8}"/>
            </c:ext>
          </c:extLst>
        </c:ser>
        <c:ser>
          <c:idx val="1"/>
          <c:order val="1"/>
          <c:tx>
            <c:strRef>
              <c:f>Analyse_Produits!$C$3</c:f>
              <c:strCache>
                <c:ptCount val="1"/>
                <c:pt idx="0">
                  <c:v>CA (€)</c:v>
                </c:pt>
              </c:strCache>
            </c:strRef>
          </c:tx>
          <c:spPr>
            <a:solidFill>
              <a:srgbClr val="D4A01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Analyse_Produits!$A$4:$A$11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Analyse_Produits!$C$4:$C$11</c:f>
              <c:numCache>
                <c:formatCode>#,##0.00" €"</c:formatCode>
                <c:ptCount val="8"/>
                <c:pt idx="0">
                  <c:v>26875.3</c:v>
                </c:pt>
                <c:pt idx="1">
                  <c:v>24751.119999999999</c:v>
                </c:pt>
                <c:pt idx="2">
                  <c:v>17439.14</c:v>
                </c:pt>
                <c:pt idx="3">
                  <c:v>14650.26</c:v>
                </c:pt>
                <c:pt idx="4">
                  <c:v>9933.4599999999991</c:v>
                </c:pt>
                <c:pt idx="5">
                  <c:v>8521.16</c:v>
                </c:pt>
                <c:pt idx="6">
                  <c:v>7384.86</c:v>
                </c:pt>
                <c:pt idx="7">
                  <c:v>2690.28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68-4531-9206-030713235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771712"/>
        <c:axId val="263352256"/>
      </c:barChart>
      <c:catAx>
        <c:axId val="26277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352256"/>
        <c:crosses val="autoZero"/>
        <c:auto val="1"/>
        <c:lblAlgn val="ctr"/>
        <c:lblOffset val="100"/>
        <c:noMultiLvlLbl val="0"/>
      </c:catAx>
      <c:valAx>
        <c:axId val="2633522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7717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 par Jour de la Semaine (€)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Analyse_Temporelle!$D$4</c:f>
              <c:strCache>
                <c:ptCount val="1"/>
                <c:pt idx="0">
                  <c:v>CA (€)</c:v>
                </c:pt>
              </c:strCache>
            </c:strRef>
          </c:tx>
          <c:spPr>
            <a:solidFill>
              <a:srgbClr val="006633"/>
            </a:solidFill>
            <a:ln w="9360">
              <a:solidFill>
                <a:srgbClr val="006633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Analyse_Temporelle!$B$5:$B$11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Analyse_Temporelle!$D$5:$D$11</c:f>
              <c:numCache>
                <c:formatCode>#,##0.00" €"</c:formatCode>
                <c:ptCount val="7"/>
                <c:pt idx="0">
                  <c:v>17363.099999999999</c:v>
                </c:pt>
                <c:pt idx="1">
                  <c:v>18168.38</c:v>
                </c:pt>
                <c:pt idx="2">
                  <c:v>15750.46</c:v>
                </c:pt>
                <c:pt idx="3">
                  <c:v>16091.4</c:v>
                </c:pt>
                <c:pt idx="4">
                  <c:v>16802.66</c:v>
                </c:pt>
                <c:pt idx="5">
                  <c:v>14733.52</c:v>
                </c:pt>
                <c:pt idx="6">
                  <c:v>13336.06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EB4-4EF5-9267-0457E732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774272"/>
        <c:axId val="263354560"/>
      </c:barChart>
      <c:catAx>
        <c:axId val="26277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354560"/>
        <c:crosses val="autoZero"/>
        <c:auto val="1"/>
        <c:lblAlgn val="ctr"/>
        <c:lblOffset val="100"/>
        <c:noMultiLvlLbl val="0"/>
      </c:catAx>
      <c:valAx>
        <c:axId val="2633545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&quot; €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774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Distribution Horaire du CA (€)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Analyse_Temporelle!$D$17</c:f>
              <c:strCache>
                <c:ptCount val="1"/>
                <c:pt idx="0">
                  <c:v>CA (€)</c:v>
                </c:pt>
              </c:strCache>
            </c:strRef>
          </c:tx>
          <c:spPr>
            <a:ln w="28080">
              <a:solidFill>
                <a:srgbClr val="D4A017"/>
              </a:solidFill>
              <a:round/>
            </a:ln>
          </c:spPr>
          <c:marker>
            <c:symbol val="diamond"/>
            <c:size val="5"/>
            <c:spPr>
              <a:solidFill>
                <a:srgbClr val="D4A01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Analyse_Temporelle!$B$18:$B$34</c:f>
              <c:strCache>
                <c:ptCount val="17"/>
                <c:pt idx="0">
                  <c:v>6h00</c:v>
                </c:pt>
                <c:pt idx="1">
                  <c:v>7h00</c:v>
                </c:pt>
                <c:pt idx="2">
                  <c:v>8h00</c:v>
                </c:pt>
                <c:pt idx="3">
                  <c:v>9h00</c:v>
                </c:pt>
                <c:pt idx="4">
                  <c:v>10h00</c:v>
                </c:pt>
                <c:pt idx="5">
                  <c:v>11h00</c:v>
                </c:pt>
                <c:pt idx="6">
                  <c:v>12h00</c:v>
                </c:pt>
                <c:pt idx="7">
                  <c:v>13h00</c:v>
                </c:pt>
                <c:pt idx="8">
                  <c:v>14h00</c:v>
                </c:pt>
                <c:pt idx="9">
                  <c:v>15h00</c:v>
                </c:pt>
                <c:pt idx="10">
                  <c:v>16h00</c:v>
                </c:pt>
                <c:pt idx="11">
                  <c:v>17h00</c:v>
                </c:pt>
                <c:pt idx="12">
                  <c:v>18h00</c:v>
                </c:pt>
                <c:pt idx="13">
                  <c:v>19h00</c:v>
                </c:pt>
                <c:pt idx="14">
                  <c:v>20h00</c:v>
                </c:pt>
                <c:pt idx="15">
                  <c:v>21h00</c:v>
                </c:pt>
                <c:pt idx="16">
                  <c:v>22h00</c:v>
                </c:pt>
              </c:strCache>
            </c:strRef>
          </c:cat>
          <c:val>
            <c:numRef>
              <c:f>Analyse_Temporelle!$D$18:$D$34</c:f>
              <c:numCache>
                <c:formatCode>#,##0.00" €"</c:formatCode>
                <c:ptCount val="17"/>
                <c:pt idx="0">
                  <c:v>149.4</c:v>
                </c:pt>
                <c:pt idx="1">
                  <c:v>2846.02</c:v>
                </c:pt>
                <c:pt idx="2">
                  <c:v>7017.88</c:v>
                </c:pt>
                <c:pt idx="3">
                  <c:v>7264.28</c:v>
                </c:pt>
                <c:pt idx="4">
                  <c:v>10198.52</c:v>
                </c:pt>
                <c:pt idx="5">
                  <c:v>8453.1</c:v>
                </c:pt>
                <c:pt idx="6">
                  <c:v>7419.62</c:v>
                </c:pt>
                <c:pt idx="7">
                  <c:v>7028.76</c:v>
                </c:pt>
                <c:pt idx="8">
                  <c:v>7173.8</c:v>
                </c:pt>
                <c:pt idx="9">
                  <c:v>7476.02</c:v>
                </c:pt>
                <c:pt idx="10">
                  <c:v>9031.84</c:v>
                </c:pt>
                <c:pt idx="11">
                  <c:v>7659.76</c:v>
                </c:pt>
                <c:pt idx="12">
                  <c:v>7162.6</c:v>
                </c:pt>
                <c:pt idx="13">
                  <c:v>7751.96</c:v>
                </c:pt>
                <c:pt idx="14">
                  <c:v>5578.92</c:v>
                </c:pt>
                <c:pt idx="15">
                  <c:v>6397.94</c:v>
                </c:pt>
                <c:pt idx="16">
                  <c:v>3635.16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5CF-4742-BE8F-CA6EE5FB1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3980032"/>
        <c:axId val="262848512"/>
      </c:lineChart>
      <c:catAx>
        <c:axId val="2639800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Heure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848512"/>
        <c:crosses val="autoZero"/>
        <c:auto val="1"/>
        <c:lblAlgn val="ctr"/>
        <c:lblOffset val="100"/>
        <c:noMultiLvlLbl val="0"/>
      </c:catAx>
      <c:valAx>
        <c:axId val="2628485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 (€)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9800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2</xdr:row>
      <xdr:rowOff>114300</xdr:rowOff>
    </xdr:from>
    <xdr:to>
      <xdr:col>22</xdr:col>
      <xdr:colOff>38100</xdr:colOff>
      <xdr:row>25</xdr:row>
      <xdr:rowOff>59940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228600</xdr:colOff>
      <xdr:row>25</xdr:row>
      <xdr:rowOff>152401</xdr:rowOff>
    </xdr:from>
    <xdr:to>
      <xdr:col>18</xdr:col>
      <xdr:colOff>484920</xdr:colOff>
      <xdr:row>50</xdr:row>
      <xdr:rowOff>155341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571499</xdr:colOff>
      <xdr:row>17</xdr:row>
      <xdr:rowOff>142875</xdr:rowOff>
    </xdr:from>
    <xdr:to>
      <xdr:col>7</xdr:col>
      <xdr:colOff>914399</xdr:colOff>
      <xdr:row>40</xdr:row>
      <xdr:rowOff>80985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266699</xdr:colOff>
      <xdr:row>17</xdr:row>
      <xdr:rowOff>133350</xdr:rowOff>
    </xdr:from>
    <xdr:to>
      <xdr:col>16</xdr:col>
      <xdr:colOff>409574</xdr:colOff>
      <xdr:row>40</xdr:row>
      <xdr:rowOff>71730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47625</xdr:rowOff>
    </xdr:from>
    <xdr:to>
      <xdr:col>7</xdr:col>
      <xdr:colOff>9524</xdr:colOff>
      <xdr:row>37</xdr:row>
      <xdr:rowOff>155265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381000</xdr:colOff>
      <xdr:row>3</xdr:row>
      <xdr:rowOff>28575</xdr:rowOff>
    </xdr:from>
    <xdr:to>
      <xdr:col>18</xdr:col>
      <xdr:colOff>161925</xdr:colOff>
      <xdr:row>27</xdr:row>
      <xdr:rowOff>136215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361950</xdr:colOff>
      <xdr:row>27</xdr:row>
      <xdr:rowOff>142875</xdr:rowOff>
    </xdr:from>
    <xdr:to>
      <xdr:col>18</xdr:col>
      <xdr:colOff>145605</xdr:colOff>
      <xdr:row>50</xdr:row>
      <xdr:rowOff>81255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5</xdr:row>
      <xdr:rowOff>171450</xdr:rowOff>
    </xdr:from>
    <xdr:to>
      <xdr:col>15</xdr:col>
      <xdr:colOff>195180</xdr:colOff>
      <xdr:row>29</xdr:row>
      <xdr:rowOff>114300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228600</xdr:colOff>
      <xdr:row>5</xdr:row>
      <xdr:rowOff>180975</xdr:rowOff>
    </xdr:from>
    <xdr:to>
      <xdr:col>25</xdr:col>
      <xdr:colOff>233280</xdr:colOff>
      <xdr:row>29</xdr:row>
      <xdr:rowOff>104775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2"/>
  <sheetViews>
    <sheetView showGridLines="0" tabSelected="1" zoomScaleNormal="100" workbookViewId="0">
      <pane ySplit="2" topLeftCell="A3" activePane="bottomLeft" state="frozen"/>
      <selection pane="bottomLeft" activeCell="Z32" sqref="Z32"/>
    </sheetView>
  </sheetViews>
  <sheetFormatPr defaultColWidth="8.7109375" defaultRowHeight="15" x14ac:dyDescent="0.25"/>
  <cols>
    <col min="2" max="2" width="24" customWidth="1"/>
    <col min="3" max="3" width="12" customWidth="1"/>
    <col min="4" max="5" width="14" customWidth="1"/>
    <col min="6" max="6" width="12" customWidth="1"/>
    <col min="7" max="9" width="8" customWidth="1"/>
  </cols>
  <sheetData>
    <row r="1" spans="1:28" ht="37.5" customHeight="1" thickBot="1" x14ac:dyDescent="0.3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5"/>
      <c r="W1" s="44"/>
      <c r="X1" s="44"/>
      <c r="Y1" s="44"/>
      <c r="Z1" s="44"/>
      <c r="AA1" s="44"/>
      <c r="AB1" s="44"/>
    </row>
    <row r="2" spans="1:28" ht="21.75" customHeight="1" thickBot="1" x14ac:dyDescent="0.3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44"/>
      <c r="X2" s="44"/>
      <c r="Y2" s="44"/>
      <c r="Z2" s="44"/>
      <c r="AA2" s="44"/>
      <c r="AB2" s="44"/>
    </row>
    <row r="3" spans="1:28" ht="9.75" customHeight="1" x14ac:dyDescent="0.25">
      <c r="W3" s="44"/>
      <c r="X3" s="44"/>
      <c r="Y3" s="44"/>
      <c r="Z3" s="44"/>
      <c r="AA3" s="44"/>
      <c r="AB3" s="44"/>
    </row>
    <row r="4" spans="1:28" ht="15" customHeight="1" x14ac:dyDescent="0.25">
      <c r="B4" s="34" t="s">
        <v>2</v>
      </c>
      <c r="C4" s="34"/>
      <c r="D4" s="34"/>
      <c r="E4" s="34"/>
      <c r="F4" s="34"/>
      <c r="G4" s="34"/>
      <c r="H4" s="34"/>
      <c r="I4" s="34"/>
      <c r="W4" s="44"/>
      <c r="X4" s="44"/>
      <c r="Y4" s="44"/>
      <c r="Z4" s="44"/>
      <c r="AA4" s="44"/>
      <c r="AB4" s="44"/>
    </row>
    <row r="5" spans="1:28" ht="7.5" customHeight="1" x14ac:dyDescent="0.25">
      <c r="W5" s="44"/>
      <c r="X5" s="44"/>
      <c r="Y5" s="44"/>
      <c r="Z5" s="44"/>
      <c r="AA5" s="44"/>
      <c r="AB5" s="44"/>
    </row>
    <row r="6" spans="1:28" ht="19.5" customHeight="1" x14ac:dyDescent="0.25">
      <c r="B6" s="35" t="s">
        <v>3</v>
      </c>
      <c r="C6" s="35"/>
      <c r="D6" s="35" t="s">
        <v>4</v>
      </c>
      <c r="E6" s="35"/>
      <c r="F6" s="35" t="s">
        <v>5</v>
      </c>
      <c r="G6" s="35"/>
      <c r="H6" s="35" t="s">
        <v>6</v>
      </c>
      <c r="I6" s="35"/>
      <c r="W6" s="44"/>
      <c r="X6" s="44"/>
      <c r="Y6" s="44"/>
      <c r="Z6" s="44"/>
      <c r="AA6" s="44"/>
      <c r="AB6" s="44"/>
    </row>
    <row r="7" spans="1:28" ht="36" customHeight="1" x14ac:dyDescent="0.25">
      <c r="B7" s="38">
        <f>Ventes_Mensuelles!I16</f>
        <v>112245.58</v>
      </c>
      <c r="C7" s="38"/>
      <c r="D7" s="39">
        <f>Ventes_Mensuelles!H16</f>
        <v>3547</v>
      </c>
      <c r="E7" s="39"/>
      <c r="F7" s="38">
        <f>Ventes_Mensuelles!J16</f>
        <v>31.645215675218495</v>
      </c>
      <c r="G7" s="38"/>
      <c r="H7" s="36" t="s">
        <v>7</v>
      </c>
      <c r="I7" s="36"/>
      <c r="W7" s="44"/>
      <c r="X7" s="44"/>
      <c r="Y7" s="44"/>
      <c r="Z7" s="44"/>
      <c r="AA7" s="44"/>
      <c r="AB7" s="44"/>
    </row>
    <row r="8" spans="1:28" ht="21.75" customHeight="1" x14ac:dyDescent="0.25">
      <c r="B8" s="37" t="s">
        <v>8</v>
      </c>
      <c r="C8" s="37"/>
      <c r="D8" s="37" t="s">
        <v>9</v>
      </c>
      <c r="E8" s="37"/>
      <c r="F8" s="37" t="s">
        <v>10</v>
      </c>
      <c r="G8" s="37"/>
      <c r="H8" s="37" t="s">
        <v>11</v>
      </c>
      <c r="I8" s="37"/>
      <c r="W8" s="44"/>
      <c r="X8" s="44"/>
      <c r="Y8" s="44"/>
      <c r="Z8" s="44"/>
      <c r="AA8" s="44"/>
      <c r="AB8" s="44"/>
    </row>
    <row r="13" spans="1:28" ht="19.5" customHeight="1" x14ac:dyDescent="0.25">
      <c r="B13" s="35" t="s">
        <v>12</v>
      </c>
      <c r="C13" s="35"/>
      <c r="D13" s="35" t="s">
        <v>13</v>
      </c>
      <c r="E13" s="35"/>
    </row>
    <row r="14" spans="1:28" ht="13.5" customHeight="1" x14ac:dyDescent="0.25">
      <c r="B14" s="36" t="s">
        <v>14</v>
      </c>
      <c r="C14" s="36"/>
      <c r="D14" s="36" t="s">
        <v>15</v>
      </c>
      <c r="E14" s="36"/>
    </row>
    <row r="15" spans="1:28" ht="21.75" customHeight="1" x14ac:dyDescent="0.25">
      <c r="B15" s="37" t="s">
        <v>16</v>
      </c>
      <c r="C15" s="37"/>
      <c r="D15" s="37" t="s">
        <v>17</v>
      </c>
      <c r="E15" s="37"/>
    </row>
    <row r="20" spans="2:9" ht="13.5" customHeight="1" x14ac:dyDescent="0.25"/>
    <row r="21" spans="2:9" ht="21.75" customHeight="1" thickBot="1" x14ac:dyDescent="0.3">
      <c r="B21" s="34" t="s">
        <v>18</v>
      </c>
      <c r="C21" s="34"/>
      <c r="D21" s="34"/>
      <c r="E21" s="34"/>
      <c r="F21" s="34"/>
      <c r="G21" s="34"/>
      <c r="H21" s="42"/>
      <c r="I21" s="42"/>
    </row>
    <row r="22" spans="2:9" ht="8.25" customHeight="1" x14ac:dyDescent="0.25">
      <c r="B22" s="43"/>
      <c r="C22" s="43"/>
      <c r="D22" s="43"/>
      <c r="E22" s="43"/>
      <c r="F22" s="43"/>
      <c r="G22" s="43"/>
      <c r="H22" s="42"/>
      <c r="I22" s="42"/>
    </row>
    <row r="23" spans="2:9" ht="15" customHeight="1" x14ac:dyDescent="0.25">
      <c r="B23" s="1" t="s">
        <v>19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24</v>
      </c>
    </row>
    <row r="24" spans="2:9" ht="15" customHeight="1" x14ac:dyDescent="0.25">
      <c r="B24" s="2" t="s">
        <v>7</v>
      </c>
      <c r="C24" s="3">
        <v>757</v>
      </c>
      <c r="D24" s="4">
        <v>26875.3</v>
      </c>
      <c r="E24" s="4">
        <f t="shared" ref="E24:E31" si="0">D24/C24</f>
        <v>35.502377807133421</v>
      </c>
      <c r="F24" s="5">
        <f>D24/SUM(D24:D31)</f>
        <v>0.23943303602689744</v>
      </c>
      <c r="G24" s="6">
        <f>RANK(D24,D24:D31,0)</f>
        <v>1</v>
      </c>
    </row>
    <row r="25" spans="2:9" ht="15" customHeight="1" x14ac:dyDescent="0.25">
      <c r="B25" s="7" t="s">
        <v>25</v>
      </c>
      <c r="C25" s="8">
        <v>809</v>
      </c>
      <c r="D25" s="9">
        <v>24751.119999999999</v>
      </c>
      <c r="E25" s="9">
        <f t="shared" si="0"/>
        <v>30.594709517923359</v>
      </c>
      <c r="F25" s="10">
        <f>D25/SUM(D24:D31)</f>
        <v>0.22050863829114695</v>
      </c>
      <c r="G25" s="11">
        <f>RANK(D25,D24:D31,0)</f>
        <v>2</v>
      </c>
    </row>
    <row r="26" spans="2:9" ht="15" customHeight="1" x14ac:dyDescent="0.25">
      <c r="B26" s="2" t="s">
        <v>26</v>
      </c>
      <c r="C26" s="3">
        <v>486</v>
      </c>
      <c r="D26" s="4">
        <v>17439.14</v>
      </c>
      <c r="E26" s="4">
        <f t="shared" si="0"/>
        <v>35.883004115226335</v>
      </c>
      <c r="F26" s="5">
        <f>D26/SUM(D24:D31)</f>
        <v>0.15536593957641806</v>
      </c>
      <c r="G26" s="12">
        <f>RANK(D26,D24:D31,0)</f>
        <v>3</v>
      </c>
    </row>
    <row r="27" spans="2:9" ht="15" customHeight="1" x14ac:dyDescent="0.25">
      <c r="B27" s="7" t="s">
        <v>27</v>
      </c>
      <c r="C27" s="8">
        <v>564</v>
      </c>
      <c r="D27" s="9">
        <v>14650.26</v>
      </c>
      <c r="E27" s="9">
        <f t="shared" si="0"/>
        <v>25.97563829787234</v>
      </c>
      <c r="F27" s="10">
        <f>D27/SUM(D24:D31)</f>
        <v>0.1305197050966283</v>
      </c>
      <c r="G27" s="11">
        <f>RANK(D27,D24:D31,0)</f>
        <v>4</v>
      </c>
    </row>
    <row r="28" spans="2:9" ht="15" customHeight="1" x14ac:dyDescent="0.25">
      <c r="B28" s="2" t="s">
        <v>28</v>
      </c>
      <c r="C28" s="3">
        <v>276</v>
      </c>
      <c r="D28" s="4">
        <v>9933.4599999999991</v>
      </c>
      <c r="E28" s="4">
        <f t="shared" si="0"/>
        <v>35.990797101449274</v>
      </c>
      <c r="F28" s="5">
        <f>D28/SUM(D24:D31)</f>
        <v>8.8497560438460021E-2</v>
      </c>
      <c r="G28" s="12">
        <f>RANK(D28,D24:D31,0)</f>
        <v>5</v>
      </c>
    </row>
    <row r="29" spans="2:9" ht="15" customHeight="1" x14ac:dyDescent="0.25">
      <c r="B29" s="7" t="s">
        <v>29</v>
      </c>
      <c r="C29" s="8">
        <v>239</v>
      </c>
      <c r="D29" s="9">
        <v>8521.16</v>
      </c>
      <c r="E29" s="9">
        <f t="shared" si="0"/>
        <v>35.653389121338911</v>
      </c>
      <c r="F29" s="10">
        <f>D29/SUM(D24:D31)</f>
        <v>7.5915327801771793E-2</v>
      </c>
      <c r="G29" s="11">
        <f>RANK(D29,D24:D31,0)</f>
        <v>6</v>
      </c>
    </row>
    <row r="30" spans="2:9" ht="15" customHeight="1" x14ac:dyDescent="0.25">
      <c r="B30" s="2" t="s">
        <v>30</v>
      </c>
      <c r="C30" s="3">
        <v>287</v>
      </c>
      <c r="D30" s="4">
        <v>7384.86</v>
      </c>
      <c r="E30" s="4">
        <f t="shared" si="0"/>
        <v>25.731219512195121</v>
      </c>
      <c r="F30" s="5">
        <f>D30/SUM(D24:D31)</f>
        <v>6.5791989314857649E-2</v>
      </c>
      <c r="G30" s="12">
        <f>RANK(D30,D24:D31,0)</f>
        <v>7</v>
      </c>
    </row>
    <row r="31" spans="2:9" ht="15" customHeight="1" x14ac:dyDescent="0.25">
      <c r="B31" s="7" t="s">
        <v>31</v>
      </c>
      <c r="C31" s="8">
        <v>129</v>
      </c>
      <c r="D31" s="9">
        <v>2690.28</v>
      </c>
      <c r="E31" s="9">
        <f t="shared" si="0"/>
        <v>20.854883720930236</v>
      </c>
      <c r="F31" s="10">
        <f>D31/SUM(D24:D31)</f>
        <v>2.3967803453819742E-2</v>
      </c>
      <c r="G31" s="11">
        <f>RANK(D31,D24:D31,0)</f>
        <v>8</v>
      </c>
    </row>
    <row r="32" spans="2:9" ht="15" customHeight="1" x14ac:dyDescent="0.25">
      <c r="B32" s="13" t="s">
        <v>32</v>
      </c>
      <c r="C32" s="14">
        <f>SUM(C24:C31)</f>
        <v>3547</v>
      </c>
      <c r="D32" s="15">
        <f>SUM(D24:D31)</f>
        <v>112245.58</v>
      </c>
      <c r="E32" s="13"/>
      <c r="F32" s="13"/>
      <c r="G32" s="13"/>
    </row>
  </sheetData>
  <mergeCells count="22">
    <mergeCell ref="B4:I4"/>
    <mergeCell ref="B6:C6"/>
    <mergeCell ref="D6:E6"/>
    <mergeCell ref="F6:G6"/>
    <mergeCell ref="H6:I6"/>
    <mergeCell ref="A1:V1"/>
    <mergeCell ref="A2:V2"/>
    <mergeCell ref="B7:C7"/>
    <mergeCell ref="D7:E7"/>
    <mergeCell ref="F7:G7"/>
    <mergeCell ref="H7:I7"/>
    <mergeCell ref="B8:C8"/>
    <mergeCell ref="D8:E8"/>
    <mergeCell ref="F8:G8"/>
    <mergeCell ref="H8:I8"/>
    <mergeCell ref="B13:C13"/>
    <mergeCell ref="D13:E13"/>
    <mergeCell ref="B14:C14"/>
    <mergeCell ref="D14:E14"/>
    <mergeCell ref="B15:C15"/>
    <mergeCell ref="D15:E15"/>
    <mergeCell ref="B21:G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844"/>
  </sheetPr>
  <dimension ref="A1:S16"/>
  <sheetViews>
    <sheetView showGridLines="0" zoomScaleNormal="100" workbookViewId="0">
      <pane ySplit="1" topLeftCell="A2" activePane="bottomLeft" state="frozen"/>
      <selection pane="bottomLeft" activeCell="C11" sqref="C11"/>
    </sheetView>
  </sheetViews>
  <sheetFormatPr defaultColWidth="8.7109375" defaultRowHeight="15" x14ac:dyDescent="0.25"/>
  <cols>
    <col min="2" max="2" width="14" customWidth="1"/>
    <col min="3" max="3" width="8" customWidth="1"/>
    <col min="4" max="5" width="14" customWidth="1"/>
    <col min="6" max="6" width="18" customWidth="1"/>
    <col min="7" max="7" width="14" customWidth="1"/>
    <col min="8" max="8" width="18.85546875" bestFit="1" customWidth="1"/>
    <col min="9" max="9" width="13.140625" bestFit="1" customWidth="1"/>
    <col min="10" max="10" width="22.85546875" bestFit="1" customWidth="1"/>
    <col min="11" max="11" width="17" bestFit="1" customWidth="1"/>
  </cols>
  <sheetData>
    <row r="1" spans="1:19" ht="31.5" customHeight="1" x14ac:dyDescent="0.25">
      <c r="A1" s="45" t="s">
        <v>33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9"/>
    </row>
    <row r="3" spans="1:19" ht="15" customHeight="1" x14ac:dyDescent="0.25">
      <c r="F3" s="1" t="s">
        <v>34</v>
      </c>
      <c r="G3" s="1" t="s">
        <v>35</v>
      </c>
      <c r="H3" s="1" t="s">
        <v>4</v>
      </c>
      <c r="I3" s="1" t="s">
        <v>21</v>
      </c>
      <c r="J3" s="1" t="s">
        <v>36</v>
      </c>
      <c r="K3" s="1" t="s">
        <v>23</v>
      </c>
    </row>
    <row r="4" spans="1:19" ht="15" customHeight="1" x14ac:dyDescent="0.25">
      <c r="F4" s="7" t="s">
        <v>37</v>
      </c>
      <c r="G4" s="16">
        <v>1</v>
      </c>
      <c r="H4" s="8">
        <v>201</v>
      </c>
      <c r="I4" s="9">
        <v>6398.86</v>
      </c>
      <c r="J4" s="9">
        <f t="shared" ref="J4:J16" si="0">I4/H4</f>
        <v>31.835124378109452</v>
      </c>
      <c r="K4" s="10">
        <f>I4/SUM(I4:I15)</f>
        <v>5.7007679055157447E-2</v>
      </c>
    </row>
    <row r="5" spans="1:19" ht="15" customHeight="1" x14ac:dyDescent="0.25">
      <c r="F5" s="2" t="s">
        <v>38</v>
      </c>
      <c r="G5" s="17">
        <v>2</v>
      </c>
      <c r="H5" s="3">
        <v>423</v>
      </c>
      <c r="I5" s="4">
        <v>13215.48</v>
      </c>
      <c r="J5" s="4">
        <f t="shared" si="0"/>
        <v>31.242269503546098</v>
      </c>
      <c r="K5" s="5">
        <f>I5/SUM(I4:I15)</f>
        <v>0.11773719731324832</v>
      </c>
    </row>
    <row r="6" spans="1:19" ht="15" customHeight="1" x14ac:dyDescent="0.25">
      <c r="F6" s="7" t="s">
        <v>39</v>
      </c>
      <c r="G6" s="16">
        <v>3</v>
      </c>
      <c r="H6" s="8">
        <v>494</v>
      </c>
      <c r="I6" s="9">
        <v>15891.64</v>
      </c>
      <c r="J6" s="9">
        <f t="shared" si="0"/>
        <v>32.169311740890684</v>
      </c>
      <c r="K6" s="10">
        <f>I6/SUM(I4:I15)</f>
        <v>0.1415792051678115</v>
      </c>
    </row>
    <row r="7" spans="1:19" ht="15" customHeight="1" x14ac:dyDescent="0.25">
      <c r="F7" s="2" t="s">
        <v>40</v>
      </c>
      <c r="G7" s="17">
        <v>4</v>
      </c>
      <c r="H7" s="3">
        <v>168</v>
      </c>
      <c r="I7" s="4">
        <v>5719.56</v>
      </c>
      <c r="J7" s="4">
        <f t="shared" si="0"/>
        <v>34.045000000000002</v>
      </c>
      <c r="K7" s="5">
        <f>I7/SUM(I4:I15)</f>
        <v>5.0955770374209841E-2</v>
      </c>
    </row>
    <row r="8" spans="1:19" ht="15" customHeight="1" x14ac:dyDescent="0.25">
      <c r="F8" s="7" t="s">
        <v>41</v>
      </c>
      <c r="G8" s="16">
        <v>5</v>
      </c>
      <c r="H8" s="8">
        <v>241</v>
      </c>
      <c r="I8" s="9">
        <v>8164.42</v>
      </c>
      <c r="J8" s="9">
        <f t="shared" si="0"/>
        <v>33.877261410788385</v>
      </c>
      <c r="K8" s="10">
        <f>I8/SUM(I4:I15)</f>
        <v>7.2737118022821026E-2</v>
      </c>
    </row>
    <row r="9" spans="1:19" ht="15" customHeight="1" x14ac:dyDescent="0.25">
      <c r="F9" s="2" t="s">
        <v>42</v>
      </c>
      <c r="G9" s="17">
        <v>6</v>
      </c>
      <c r="H9" s="3">
        <v>223</v>
      </c>
      <c r="I9" s="4">
        <v>7617.76</v>
      </c>
      <c r="J9" s="4">
        <f t="shared" si="0"/>
        <v>34.160358744394621</v>
      </c>
      <c r="K9" s="5">
        <f>I9/SUM(I4:I15)</f>
        <v>6.786690397964891E-2</v>
      </c>
    </row>
    <row r="10" spans="1:19" ht="15" customHeight="1" x14ac:dyDescent="0.25">
      <c r="F10" s="7" t="s">
        <v>43</v>
      </c>
      <c r="G10" s="16">
        <v>7</v>
      </c>
      <c r="H10" s="8">
        <v>237</v>
      </c>
      <c r="I10" s="9">
        <v>6915.94</v>
      </c>
      <c r="J10" s="9">
        <f t="shared" si="0"/>
        <v>29.181181434599154</v>
      </c>
      <c r="K10" s="10">
        <f>I10/SUM(I4:I15)</f>
        <v>6.1614363790538564E-2</v>
      </c>
    </row>
    <row r="11" spans="1:19" ht="15" customHeight="1" x14ac:dyDescent="0.25">
      <c r="F11" s="2" t="s">
        <v>44</v>
      </c>
      <c r="G11" s="17">
        <v>8</v>
      </c>
      <c r="H11" s="3">
        <v>272</v>
      </c>
      <c r="I11" s="4">
        <v>7613.84</v>
      </c>
      <c r="J11" s="4">
        <f t="shared" si="0"/>
        <v>27.992058823529412</v>
      </c>
      <c r="K11" s="5">
        <f>I11/SUM(I4:I15)</f>
        <v>6.7831980555492694E-2</v>
      </c>
    </row>
    <row r="12" spans="1:19" ht="15" customHeight="1" x14ac:dyDescent="0.25">
      <c r="F12" s="7" t="s">
        <v>45</v>
      </c>
      <c r="G12" s="16">
        <v>9</v>
      </c>
      <c r="H12" s="8">
        <v>344</v>
      </c>
      <c r="I12" s="9">
        <v>9988.64</v>
      </c>
      <c r="J12" s="9">
        <f t="shared" si="0"/>
        <v>29.036744186046509</v>
      </c>
      <c r="K12" s="10">
        <f>I12/SUM(I4:I15)</f>
        <v>8.8989161087679347E-2</v>
      </c>
    </row>
    <row r="13" spans="1:19" ht="15" customHeight="1" x14ac:dyDescent="0.25">
      <c r="F13" s="2" t="s">
        <v>46</v>
      </c>
      <c r="G13" s="17">
        <v>10</v>
      </c>
      <c r="H13" s="3">
        <v>426</v>
      </c>
      <c r="I13" s="4">
        <v>13891.16</v>
      </c>
      <c r="J13" s="4">
        <f t="shared" si="0"/>
        <v>32.60835680751174</v>
      </c>
      <c r="K13" s="5">
        <f>I13/SUM(I4:I15)</f>
        <v>0.1237568552810721</v>
      </c>
    </row>
    <row r="14" spans="1:19" ht="15" customHeight="1" x14ac:dyDescent="0.25">
      <c r="F14" s="7" t="s">
        <v>47</v>
      </c>
      <c r="G14" s="16">
        <v>11</v>
      </c>
      <c r="H14" s="8">
        <v>259</v>
      </c>
      <c r="I14" s="9">
        <v>8590.5400000000009</v>
      </c>
      <c r="J14" s="9">
        <f t="shared" si="0"/>
        <v>33.168108108108115</v>
      </c>
      <c r="K14" s="10">
        <f>I14/SUM(I4:I15)</f>
        <v>7.6533436773189648E-2</v>
      </c>
    </row>
    <row r="15" spans="1:19" ht="15" customHeight="1" x14ac:dyDescent="0.25">
      <c r="F15" s="2" t="s">
        <v>48</v>
      </c>
      <c r="G15" s="17">
        <v>12</v>
      </c>
      <c r="H15" s="3">
        <v>259</v>
      </c>
      <c r="I15" s="4">
        <v>8237.74</v>
      </c>
      <c r="J15" s="4">
        <f t="shared" si="0"/>
        <v>31.805945945945947</v>
      </c>
      <c r="K15" s="5">
        <f>I15/SUM(I4:I15)</f>
        <v>7.3390328599130583E-2</v>
      </c>
    </row>
    <row r="16" spans="1:19" ht="25.5" customHeight="1" x14ac:dyDescent="0.25">
      <c r="F16" s="18" t="s">
        <v>49</v>
      </c>
      <c r="G16" s="18"/>
      <c r="H16" s="19">
        <f>SUM(H4:H15)</f>
        <v>3547</v>
      </c>
      <c r="I16" s="20">
        <f>SUM(I4:I15)</f>
        <v>112245.58</v>
      </c>
      <c r="J16" s="20">
        <f t="shared" si="0"/>
        <v>31.645215675218495</v>
      </c>
      <c r="K16" s="21">
        <f>SUM(K4:K15)</f>
        <v>1</v>
      </c>
    </row>
  </sheetData>
  <autoFilter ref="F3:K3"/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017"/>
  </sheetPr>
  <dimension ref="A1:R12"/>
  <sheetViews>
    <sheetView showGridLines="0" zoomScaleNormal="100" workbookViewId="0">
      <pane ySplit="1" topLeftCell="A2" activePane="bottomLeft" state="frozen"/>
      <selection pane="bottomLeft" activeCell="S21" sqref="S21"/>
    </sheetView>
  </sheetViews>
  <sheetFormatPr defaultColWidth="8.7109375" defaultRowHeight="15" x14ac:dyDescent="0.25"/>
  <cols>
    <col min="1" max="1" width="24" customWidth="1"/>
    <col min="2" max="3" width="14" customWidth="1"/>
    <col min="4" max="4" width="16" customWidth="1"/>
    <col min="5" max="5" width="14" customWidth="1"/>
    <col min="6" max="6" width="16" customWidth="1"/>
    <col min="7" max="7" width="10" customWidth="1"/>
  </cols>
  <sheetData>
    <row r="1" spans="1:18" ht="31.5" customHeight="1" thickBot="1" x14ac:dyDescent="0.3">
      <c r="A1" s="46" t="s">
        <v>50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8"/>
    </row>
    <row r="3" spans="1:18" ht="15" customHeight="1" x14ac:dyDescent="0.25">
      <c r="A3" s="22" t="s">
        <v>19</v>
      </c>
      <c r="B3" s="22" t="s">
        <v>4</v>
      </c>
      <c r="C3" s="22" t="s">
        <v>21</v>
      </c>
      <c r="D3" s="22" t="s">
        <v>22</v>
      </c>
      <c r="E3" s="22" t="s">
        <v>23</v>
      </c>
      <c r="F3" s="22" t="s">
        <v>51</v>
      </c>
      <c r="G3" s="22" t="s">
        <v>52</v>
      </c>
    </row>
    <row r="4" spans="1:18" ht="15" customHeight="1" x14ac:dyDescent="0.25">
      <c r="A4" s="23" t="s">
        <v>7</v>
      </c>
      <c r="B4" s="24">
        <v>757</v>
      </c>
      <c r="C4" s="25">
        <v>26875.3</v>
      </c>
      <c r="D4" s="25">
        <f t="shared" ref="D4:D11" si="0">C4/B4</f>
        <v>35.502377807133421</v>
      </c>
      <c r="E4" s="26">
        <f>C4/SUM(C4:C11)</f>
        <v>0.23943303602689744</v>
      </c>
      <c r="F4" s="26">
        <f>B4/SUM(B4:B11)</f>
        <v>0.21341979137299125</v>
      </c>
      <c r="G4" s="27">
        <f>RANK(C4,C4:C11,0)</f>
        <v>1</v>
      </c>
    </row>
    <row r="5" spans="1:18" ht="15" customHeight="1" x14ac:dyDescent="0.25">
      <c r="A5" s="7" t="s">
        <v>25</v>
      </c>
      <c r="B5" s="8">
        <v>809</v>
      </c>
      <c r="C5" s="9">
        <v>24751.119999999999</v>
      </c>
      <c r="D5" s="9">
        <f t="shared" si="0"/>
        <v>30.594709517923359</v>
      </c>
      <c r="E5" s="10">
        <f>C5/SUM(C4:C11)</f>
        <v>0.22050863829114695</v>
      </c>
      <c r="F5" s="10">
        <f>B5/SUM(B4:B11)</f>
        <v>0.22808006766281363</v>
      </c>
      <c r="G5" s="16">
        <f>RANK(C5,C4:C11,0)</f>
        <v>2</v>
      </c>
    </row>
    <row r="6" spans="1:18" ht="15" customHeight="1" x14ac:dyDescent="0.25">
      <c r="A6" s="2" t="s">
        <v>26</v>
      </c>
      <c r="B6" s="3">
        <v>486</v>
      </c>
      <c r="C6" s="4">
        <v>17439.14</v>
      </c>
      <c r="D6" s="4">
        <f t="shared" si="0"/>
        <v>35.883004115226335</v>
      </c>
      <c r="E6" s="5">
        <f>C6/SUM(C4:C11)</f>
        <v>0.15536593957641806</v>
      </c>
      <c r="F6" s="5">
        <f>B6/SUM(B4:B11)</f>
        <v>0.13701719763180153</v>
      </c>
      <c r="G6" s="17">
        <f>RANK(C6,C4:C11,0)</f>
        <v>3</v>
      </c>
    </row>
    <row r="7" spans="1:18" ht="15" customHeight="1" x14ac:dyDescent="0.25">
      <c r="A7" s="7" t="s">
        <v>27</v>
      </c>
      <c r="B7" s="8">
        <v>564</v>
      </c>
      <c r="C7" s="9">
        <v>14650.26</v>
      </c>
      <c r="D7" s="9">
        <f t="shared" si="0"/>
        <v>25.97563829787234</v>
      </c>
      <c r="E7" s="10">
        <f>C7/SUM(C4:C11)</f>
        <v>0.1305197050966283</v>
      </c>
      <c r="F7" s="10">
        <f>B7/SUM(B4:B11)</f>
        <v>0.1590076120665351</v>
      </c>
      <c r="G7" s="16">
        <f>RANK(C7,C4:C11,0)</f>
        <v>4</v>
      </c>
    </row>
    <row r="8" spans="1:18" ht="15" customHeight="1" x14ac:dyDescent="0.25">
      <c r="A8" s="2" t="s">
        <v>28</v>
      </c>
      <c r="B8" s="3">
        <v>276</v>
      </c>
      <c r="C8" s="4">
        <v>9933.4599999999991</v>
      </c>
      <c r="D8" s="4">
        <f t="shared" si="0"/>
        <v>35.990797101449274</v>
      </c>
      <c r="E8" s="5">
        <f>C8/SUM(C4:C11)</f>
        <v>8.8497560438460021E-2</v>
      </c>
      <c r="F8" s="5">
        <f>B8/SUM(B4:B11)</f>
        <v>7.7812235692134205E-2</v>
      </c>
      <c r="G8" s="17">
        <f>RANK(C8,C4:C11,0)</f>
        <v>5</v>
      </c>
    </row>
    <row r="9" spans="1:18" ht="15" customHeight="1" x14ac:dyDescent="0.25">
      <c r="A9" s="7" t="s">
        <v>29</v>
      </c>
      <c r="B9" s="8">
        <v>239</v>
      </c>
      <c r="C9" s="9">
        <v>8521.16</v>
      </c>
      <c r="D9" s="9">
        <f t="shared" si="0"/>
        <v>35.653389121338911</v>
      </c>
      <c r="E9" s="10">
        <f>C9/SUM(C4:C11)</f>
        <v>7.5915327801771793E-2</v>
      </c>
      <c r="F9" s="10">
        <f>B9/SUM(B4:B11)</f>
        <v>6.7380885255145198E-2</v>
      </c>
      <c r="G9" s="16">
        <f>RANK(C9,C4:C11,0)</f>
        <v>6</v>
      </c>
    </row>
    <row r="10" spans="1:18" ht="15" customHeight="1" x14ac:dyDescent="0.25">
      <c r="A10" s="2" t="s">
        <v>30</v>
      </c>
      <c r="B10" s="3">
        <v>287</v>
      </c>
      <c r="C10" s="4">
        <v>7384.86</v>
      </c>
      <c r="D10" s="4">
        <f t="shared" si="0"/>
        <v>25.731219512195121</v>
      </c>
      <c r="E10" s="5">
        <f>C10/SUM(C4:C11)</f>
        <v>6.5791989314857649E-2</v>
      </c>
      <c r="F10" s="5">
        <f>B10/SUM(B4:B11)</f>
        <v>8.0913447984212017E-2</v>
      </c>
      <c r="G10" s="17">
        <f>RANK(C10,C4:C11,0)</f>
        <v>7</v>
      </c>
    </row>
    <row r="11" spans="1:18" ht="15" customHeight="1" x14ac:dyDescent="0.25">
      <c r="A11" s="7" t="s">
        <v>31</v>
      </c>
      <c r="B11" s="8">
        <v>129</v>
      </c>
      <c r="C11" s="9">
        <v>2690.28</v>
      </c>
      <c r="D11" s="9">
        <f t="shared" si="0"/>
        <v>20.854883720930236</v>
      </c>
      <c r="E11" s="10">
        <f>C11/SUM(C4:C11)</f>
        <v>2.3967803453819742E-2</v>
      </c>
      <c r="F11" s="10">
        <f>B11/SUM(B4:B11)</f>
        <v>3.6368762334367068E-2</v>
      </c>
      <c r="G11" s="16">
        <f>RANK(C11,C4:C11,0)</f>
        <v>8</v>
      </c>
    </row>
    <row r="12" spans="1:18" ht="15" customHeight="1" x14ac:dyDescent="0.25">
      <c r="A12" s="18" t="s">
        <v>32</v>
      </c>
      <c r="B12" s="19">
        <f>SUM(B4:B11)</f>
        <v>3547</v>
      </c>
      <c r="C12" s="20">
        <f>SUM(C4:C11)</f>
        <v>112245.58</v>
      </c>
      <c r="D12" s="28"/>
      <c r="E12" s="28"/>
      <c r="F12" s="28"/>
      <c r="G12" s="28"/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6AB"/>
  </sheetPr>
  <dimension ref="A1:Z34"/>
  <sheetViews>
    <sheetView showGridLines="0" zoomScaleNormal="100" workbookViewId="0">
      <pane ySplit="1" topLeftCell="A2" activePane="bottomLeft" state="frozen"/>
      <selection pane="bottomLeft" activeCell="L37" sqref="L37"/>
    </sheetView>
  </sheetViews>
  <sheetFormatPr defaultColWidth="8.7109375" defaultRowHeight="15" x14ac:dyDescent="0.25"/>
  <cols>
    <col min="2" max="2" width="16" customWidth="1"/>
    <col min="3" max="3" width="12" customWidth="1"/>
    <col min="4" max="4" width="14" customWidth="1"/>
    <col min="5" max="5" width="18" customWidth="1"/>
    <col min="6" max="6" width="4" customWidth="1"/>
    <col min="7" max="7" width="10" customWidth="1"/>
    <col min="8" max="8" width="12" customWidth="1"/>
    <col min="9" max="9" width="14" customWidth="1"/>
    <col min="10" max="10" width="10" customWidth="1"/>
  </cols>
  <sheetData>
    <row r="1" spans="1:26" ht="31.5" customHeight="1" x14ac:dyDescent="0.25">
      <c r="A1" s="45" t="s">
        <v>53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3" spans="1:26" ht="15" customHeight="1" x14ac:dyDescent="0.25">
      <c r="B3" s="40" t="s">
        <v>54</v>
      </c>
      <c r="C3" s="40"/>
      <c r="D3" s="40"/>
      <c r="E3" s="40"/>
    </row>
    <row r="4" spans="1:26" ht="15" customHeight="1" x14ac:dyDescent="0.25">
      <c r="B4" s="1" t="s">
        <v>56</v>
      </c>
      <c r="C4" s="1" t="s">
        <v>4</v>
      </c>
      <c r="D4" s="1" t="s">
        <v>21</v>
      </c>
      <c r="E4" s="1" t="s">
        <v>57</v>
      </c>
    </row>
    <row r="5" spans="1:26" ht="15" customHeight="1" x14ac:dyDescent="0.25">
      <c r="B5" s="2" t="s">
        <v>60</v>
      </c>
      <c r="C5" s="3">
        <v>544</v>
      </c>
      <c r="D5" s="4">
        <v>17363.099999999999</v>
      </c>
      <c r="E5" s="4">
        <f t="shared" ref="E5:E11" si="0">D5/52</f>
        <v>333.90576923076918</v>
      </c>
    </row>
    <row r="6" spans="1:26" ht="15" customHeight="1" x14ac:dyDescent="0.25">
      <c r="B6" s="7" t="s">
        <v>62</v>
      </c>
      <c r="C6" s="8">
        <v>572</v>
      </c>
      <c r="D6" s="9">
        <v>18168.38</v>
      </c>
      <c r="E6" s="9">
        <f t="shared" si="0"/>
        <v>349.39192307692309</v>
      </c>
    </row>
    <row r="7" spans="1:26" ht="15" customHeight="1" x14ac:dyDescent="0.25">
      <c r="B7" s="2" t="s">
        <v>64</v>
      </c>
      <c r="C7" s="3">
        <v>500</v>
      </c>
      <c r="D7" s="4">
        <v>15750.46</v>
      </c>
      <c r="E7" s="4">
        <f t="shared" si="0"/>
        <v>302.89346153846151</v>
      </c>
    </row>
    <row r="8" spans="1:26" ht="15" customHeight="1" x14ac:dyDescent="0.25">
      <c r="B8" s="7" t="s">
        <v>66</v>
      </c>
      <c r="C8" s="8">
        <v>510</v>
      </c>
      <c r="D8" s="9">
        <v>16091.4</v>
      </c>
      <c r="E8" s="9">
        <f t="shared" si="0"/>
        <v>309.45</v>
      </c>
    </row>
    <row r="9" spans="1:26" ht="15" customHeight="1" x14ac:dyDescent="0.25">
      <c r="B9" s="2" t="s">
        <v>68</v>
      </c>
      <c r="C9" s="3">
        <v>532</v>
      </c>
      <c r="D9" s="4">
        <v>16802.66</v>
      </c>
      <c r="E9" s="4">
        <f t="shared" si="0"/>
        <v>323.12807692307695</v>
      </c>
    </row>
    <row r="10" spans="1:26" ht="15" customHeight="1" x14ac:dyDescent="0.25">
      <c r="B10" s="7" t="s">
        <v>69</v>
      </c>
      <c r="C10" s="8">
        <v>470</v>
      </c>
      <c r="D10" s="9">
        <v>14733.52</v>
      </c>
      <c r="E10" s="9">
        <f t="shared" si="0"/>
        <v>283.33692307692309</v>
      </c>
    </row>
    <row r="11" spans="1:26" ht="15" customHeight="1" x14ac:dyDescent="0.25">
      <c r="B11" s="2" t="s">
        <v>71</v>
      </c>
      <c r="C11" s="3">
        <v>419</v>
      </c>
      <c r="D11" s="4">
        <v>13336.06</v>
      </c>
      <c r="E11" s="4">
        <f t="shared" si="0"/>
        <v>256.46269230769229</v>
      </c>
    </row>
    <row r="12" spans="1:26" ht="15" customHeight="1" x14ac:dyDescent="0.25">
      <c r="B12" s="18" t="s">
        <v>32</v>
      </c>
      <c r="C12" s="19">
        <f>SUM(C5:C11)</f>
        <v>3547</v>
      </c>
      <c r="D12" s="20">
        <f>SUM(D5:D11)</f>
        <v>112245.58</v>
      </c>
      <c r="E12" s="18"/>
    </row>
    <row r="13" spans="1:26" ht="15" customHeight="1" x14ac:dyDescent="0.25"/>
    <row r="14" spans="1:26" ht="15" customHeight="1" x14ac:dyDescent="0.25"/>
    <row r="15" spans="1:26" ht="15" customHeight="1" x14ac:dyDescent="0.25"/>
    <row r="16" spans="1:26" ht="15" customHeight="1" x14ac:dyDescent="0.25">
      <c r="B16" s="41" t="s">
        <v>55</v>
      </c>
      <c r="C16" s="41"/>
      <c r="D16" s="41"/>
      <c r="E16" s="41"/>
    </row>
    <row r="17" spans="2:5" ht="15" customHeight="1" x14ac:dyDescent="0.25">
      <c r="B17" s="29" t="s">
        <v>58</v>
      </c>
      <c r="C17" s="29" t="s">
        <v>4</v>
      </c>
      <c r="D17" s="29" t="s">
        <v>21</v>
      </c>
      <c r="E17" s="29" t="s">
        <v>59</v>
      </c>
    </row>
    <row r="18" spans="2:5" ht="15" customHeight="1" x14ac:dyDescent="0.25">
      <c r="B18" s="17" t="s">
        <v>61</v>
      </c>
      <c r="C18" s="3">
        <v>5</v>
      </c>
      <c r="D18" s="4">
        <v>149.4</v>
      </c>
      <c r="E18" s="5">
        <f>D18/SUM(D18:D34)</f>
        <v>1.3310100941168461E-3</v>
      </c>
    </row>
    <row r="19" spans="2:5" ht="15" customHeight="1" x14ac:dyDescent="0.25">
      <c r="B19" s="16" t="s">
        <v>63</v>
      </c>
      <c r="C19" s="8">
        <v>88</v>
      </c>
      <c r="D19" s="9">
        <v>2846.02</v>
      </c>
      <c r="E19" s="10">
        <f>D19/SUM(D18:D34)</f>
        <v>2.5355296841087192E-2</v>
      </c>
    </row>
    <row r="20" spans="2:5" ht="15" customHeight="1" x14ac:dyDescent="0.25">
      <c r="B20" s="17" t="s">
        <v>65</v>
      </c>
      <c r="C20" s="3">
        <v>235</v>
      </c>
      <c r="D20" s="4">
        <v>7017.88</v>
      </c>
      <c r="E20" s="5">
        <f>D20/SUM(D18:D34)</f>
        <v>6.2522550999335555E-2</v>
      </c>
    </row>
    <row r="21" spans="2:5" ht="15" customHeight="1" x14ac:dyDescent="0.25">
      <c r="B21" s="16" t="s">
        <v>67</v>
      </c>
      <c r="C21" s="8">
        <v>242</v>
      </c>
      <c r="D21" s="9">
        <v>7264.28</v>
      </c>
      <c r="E21" s="10">
        <f>D21/SUM(D18:D34)</f>
        <v>6.4717737660583155E-2</v>
      </c>
    </row>
    <row r="22" spans="2:5" x14ac:dyDescent="0.25">
      <c r="B22" s="30" t="s">
        <v>15</v>
      </c>
      <c r="C22" s="31">
        <v>328</v>
      </c>
      <c r="D22" s="32">
        <v>10198.52</v>
      </c>
      <c r="E22" s="33">
        <f>D22/SUM(D18:D34)</f>
        <v>9.0858989725920603E-2</v>
      </c>
    </row>
    <row r="23" spans="2:5" x14ac:dyDescent="0.25">
      <c r="B23" s="16" t="s">
        <v>70</v>
      </c>
      <c r="C23" s="8">
        <v>283</v>
      </c>
      <c r="D23" s="9">
        <v>8453.1</v>
      </c>
      <c r="E23" s="10">
        <f>D23/SUM(D18:D34)</f>
        <v>7.5308978758896333E-2</v>
      </c>
    </row>
    <row r="24" spans="2:5" x14ac:dyDescent="0.25">
      <c r="B24" s="17" t="s">
        <v>72</v>
      </c>
      <c r="C24" s="3">
        <v>241</v>
      </c>
      <c r="D24" s="4">
        <v>7419.62</v>
      </c>
      <c r="E24" s="5">
        <f>D24/SUM(D18:D34)</f>
        <v>6.610166743314079E-2</v>
      </c>
    </row>
    <row r="25" spans="2:5" x14ac:dyDescent="0.25">
      <c r="B25" s="16" t="s">
        <v>73</v>
      </c>
      <c r="C25" s="8">
        <v>225</v>
      </c>
      <c r="D25" s="9">
        <v>7028.76</v>
      </c>
      <c r="E25" s="10">
        <f>D25/SUM(D18:D34)</f>
        <v>6.2619481319442588E-2</v>
      </c>
    </row>
    <row r="26" spans="2:5" x14ac:dyDescent="0.25">
      <c r="B26" s="17" t="s">
        <v>74</v>
      </c>
      <c r="C26" s="3">
        <v>225</v>
      </c>
      <c r="D26" s="4">
        <v>7173.8</v>
      </c>
      <c r="E26" s="5">
        <f>D26/SUM(D18:D34)</f>
        <v>6.3911648013222425E-2</v>
      </c>
    </row>
    <row r="27" spans="2:5" x14ac:dyDescent="0.25">
      <c r="B27" s="16" t="s">
        <v>75</v>
      </c>
      <c r="C27" s="8">
        <v>236</v>
      </c>
      <c r="D27" s="9">
        <v>7476.02</v>
      </c>
      <c r="E27" s="10">
        <f>D27/SUM(D18:D34)</f>
        <v>6.6604137107225056E-2</v>
      </c>
    </row>
    <row r="28" spans="2:5" x14ac:dyDescent="0.25">
      <c r="B28" s="17" t="s">
        <v>76</v>
      </c>
      <c r="C28" s="3">
        <v>278</v>
      </c>
      <c r="D28" s="4">
        <v>9031.84</v>
      </c>
      <c r="E28" s="5">
        <f>D28/SUM(D18:D34)</f>
        <v>8.0464994701795814E-2</v>
      </c>
    </row>
    <row r="29" spans="2:5" x14ac:dyDescent="0.25">
      <c r="B29" s="16" t="s">
        <v>77</v>
      </c>
      <c r="C29" s="8">
        <v>237</v>
      </c>
      <c r="D29" s="9">
        <v>7659.76</v>
      </c>
      <c r="E29" s="10">
        <f>D29/SUM(D18:D34)</f>
        <v>6.8241083524179735E-2</v>
      </c>
    </row>
    <row r="30" spans="2:5" x14ac:dyDescent="0.25">
      <c r="B30" s="17" t="s">
        <v>78</v>
      </c>
      <c r="C30" s="3">
        <v>218</v>
      </c>
      <c r="D30" s="4">
        <v>7162.6</v>
      </c>
      <c r="E30" s="5">
        <f>D30/SUM(D18:D34)</f>
        <v>6.3811866801347539E-2</v>
      </c>
    </row>
    <row r="31" spans="2:5" x14ac:dyDescent="0.25">
      <c r="B31" s="16" t="s">
        <v>79</v>
      </c>
      <c r="C31" s="8">
        <v>229</v>
      </c>
      <c r="D31" s="9">
        <v>7751.96</v>
      </c>
      <c r="E31" s="10">
        <f>D31/SUM(D18:D34)</f>
        <v>6.9062496714792684E-2</v>
      </c>
    </row>
    <row r="32" spans="2:5" x14ac:dyDescent="0.25">
      <c r="B32" s="17" t="s">
        <v>80</v>
      </c>
      <c r="C32" s="3">
        <v>169</v>
      </c>
      <c r="D32" s="4">
        <v>5578.92</v>
      </c>
      <c r="E32" s="5">
        <f>D32/SUM(D18:D34)</f>
        <v>4.9702803442237986E-2</v>
      </c>
    </row>
    <row r="33" spans="2:5" x14ac:dyDescent="0.25">
      <c r="B33" s="16" t="s">
        <v>81</v>
      </c>
      <c r="C33" s="8">
        <v>195</v>
      </c>
      <c r="D33" s="9">
        <v>6397.94</v>
      </c>
      <c r="E33" s="10">
        <f>D33/SUM(D18:D34)</f>
        <v>5.699948274132486E-2</v>
      </c>
    </row>
    <row r="34" spans="2:5" x14ac:dyDescent="0.25">
      <c r="B34" s="17" t="s">
        <v>82</v>
      </c>
      <c r="C34" s="3">
        <v>113</v>
      </c>
      <c r="D34" s="4">
        <v>3635.16</v>
      </c>
      <c r="E34" s="5">
        <f>D34/SUM(D18:D34)</f>
        <v>3.2385774121350699E-2</v>
      </c>
    </row>
  </sheetData>
  <mergeCells count="3">
    <mergeCell ref="B3:E3"/>
    <mergeCell ref="B16:E16"/>
    <mergeCell ref="A1:Z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Tableau de Bord</vt:lpstr>
      <vt:lpstr>Ventes_Mensuelles</vt:lpstr>
      <vt:lpstr>Analyse_Produits</vt:lpstr>
      <vt:lpstr>Analyse_Temporelle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Chaymaa El Mouini</cp:lastModifiedBy>
  <cp:revision>1</cp:revision>
  <dcterms:created xsi:type="dcterms:W3CDTF">2026-03-28T23:15:26Z</dcterms:created>
  <dcterms:modified xsi:type="dcterms:W3CDTF">2026-03-30T12:31:52Z</dcterms:modified>
  <dc:language>en-US</dc:language>
</cp:coreProperties>
</file>